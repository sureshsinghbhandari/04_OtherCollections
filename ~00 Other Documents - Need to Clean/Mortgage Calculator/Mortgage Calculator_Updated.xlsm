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ndari\Desktop\My Documents\Mortgage Calculator\"/>
    </mc:Choice>
  </mc:AlternateContent>
  <xr:revisionPtr revIDLastSave="0" documentId="13_ncr:1_{ADF08671-A1AE-42B3-8328-5F183E3DA29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ortgage Calculator" sheetId="4" r:id="rId1"/>
    <sheet name="Sheet2" sheetId="2" r:id="rId2"/>
    <sheet name="Sheet3" sheetId="3" r:id="rId3"/>
    <sheet name="Sheet1" sheetId="5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5" i="4" l="1"/>
  <c r="O14" i="4"/>
  <c r="O13" i="4"/>
  <c r="N15" i="4"/>
  <c r="N14" i="4"/>
  <c r="N13" i="4"/>
  <c r="J15" i="4"/>
  <c r="J14" i="4"/>
  <c r="J13" i="4"/>
  <c r="F13" i="4"/>
  <c r="F14" i="4"/>
  <c r="E13" i="4"/>
  <c r="E14" i="4"/>
  <c r="D13" i="4"/>
  <c r="D7" i="4"/>
  <c r="S14" i="4" l="1"/>
  <c r="R14" i="4"/>
  <c r="S15" i="4"/>
  <c r="R15" i="4"/>
  <c r="C14" i="4" l="1"/>
  <c r="R16" i="4"/>
  <c r="R17" i="4"/>
  <c r="R18" i="4"/>
  <c r="R19" i="4"/>
  <c r="R20" i="4"/>
  <c r="R21" i="4"/>
  <c r="R22" i="4"/>
  <c r="R23" i="4"/>
  <c r="R24" i="4"/>
  <c r="R35" i="4" s="1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12" i="3"/>
  <c r="C7" i="3"/>
  <c r="C12" i="3" s="1"/>
  <c r="E12" i="3"/>
  <c r="J12" i="3" s="1"/>
  <c r="R23" i="3"/>
  <c r="R35" i="3" s="1"/>
  <c r="R47" i="3" s="1"/>
  <c r="R59" i="3" s="1"/>
  <c r="R71" i="3" s="1"/>
  <c r="R83" i="3" s="1"/>
  <c r="R95" i="3" s="1"/>
  <c r="R107" i="3" s="1"/>
  <c r="R119" i="3" s="1"/>
  <c r="R131" i="3" s="1"/>
  <c r="R143" i="3" s="1"/>
  <c r="R155" i="3" s="1"/>
  <c r="R167" i="3" s="1"/>
  <c r="R179" i="3" s="1"/>
  <c r="R191" i="3" s="1"/>
  <c r="R203" i="3" s="1"/>
  <c r="R215" i="3" s="1"/>
  <c r="R227" i="3" s="1"/>
  <c r="R239" i="3" s="1"/>
  <c r="Q23" i="3"/>
  <c r="Q35" i="3" s="1"/>
  <c r="Q47" i="3" s="1"/>
  <c r="Q59" i="3" s="1"/>
  <c r="Q71" i="3" s="1"/>
  <c r="Q83" i="3" s="1"/>
  <c r="Q95" i="3" s="1"/>
  <c r="Q107" i="3" s="1"/>
  <c r="Q119" i="3" s="1"/>
  <c r="Q131" i="3" s="1"/>
  <c r="Q143" i="3" s="1"/>
  <c r="Q155" i="3" s="1"/>
  <c r="Q167" i="3" s="1"/>
  <c r="Q179" i="3" s="1"/>
  <c r="Q191" i="3" s="1"/>
  <c r="Q203" i="3" s="1"/>
  <c r="Q215" i="3" s="1"/>
  <c r="Q227" i="3" s="1"/>
  <c r="Q239" i="3" s="1"/>
  <c r="Q249" i="3" s="1"/>
  <c r="G4" i="3"/>
  <c r="M371" i="3"/>
  <c r="M370" i="3"/>
  <c r="M369" i="3"/>
  <c r="M368" i="3"/>
  <c r="M367" i="3"/>
  <c r="M366" i="3"/>
  <c r="M365" i="3"/>
  <c r="M364" i="3"/>
  <c r="M363" i="3"/>
  <c r="M362" i="3"/>
  <c r="M361" i="3"/>
  <c r="M360" i="3"/>
  <c r="M359" i="3"/>
  <c r="M358" i="3"/>
  <c r="M357" i="3"/>
  <c r="M356" i="3"/>
  <c r="M355" i="3"/>
  <c r="M354" i="3"/>
  <c r="M353" i="3"/>
  <c r="M352" i="3"/>
  <c r="M351" i="3"/>
  <c r="M350" i="3"/>
  <c r="M349" i="3"/>
  <c r="M348" i="3"/>
  <c r="M347" i="3"/>
  <c r="M346" i="3"/>
  <c r="M345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258" i="3"/>
  <c r="M257" i="3"/>
  <c r="M256" i="3"/>
  <c r="M255" i="3"/>
  <c r="M254" i="3"/>
  <c r="M253" i="3"/>
  <c r="M252" i="3"/>
  <c r="M251" i="3"/>
  <c r="R250" i="3"/>
  <c r="M250" i="3"/>
  <c r="M249" i="3"/>
  <c r="R248" i="3"/>
  <c r="M248" i="3"/>
  <c r="M247" i="3"/>
  <c r="R246" i="3"/>
  <c r="M246" i="3"/>
  <c r="M245" i="3"/>
  <c r="R244" i="3"/>
  <c r="M244" i="3"/>
  <c r="M243" i="3"/>
  <c r="R242" i="3"/>
  <c r="Q242" i="3"/>
  <c r="M242" i="3"/>
  <c r="R241" i="3"/>
  <c r="M241" i="3"/>
  <c r="R240" i="3"/>
  <c r="M240" i="3"/>
  <c r="M239" i="3"/>
  <c r="R238" i="3"/>
  <c r="M238" i="3"/>
  <c r="R237" i="3"/>
  <c r="Q237" i="3"/>
  <c r="M237" i="3"/>
  <c r="R236" i="3"/>
  <c r="M236" i="3"/>
  <c r="R235" i="3"/>
  <c r="M235" i="3"/>
  <c r="R234" i="3"/>
  <c r="M234" i="3"/>
  <c r="R233" i="3"/>
  <c r="Q233" i="3"/>
  <c r="M233" i="3"/>
  <c r="R232" i="3"/>
  <c r="M232" i="3"/>
  <c r="R231" i="3"/>
  <c r="M231" i="3"/>
  <c r="R230" i="3"/>
  <c r="M230" i="3"/>
  <c r="R229" i="3"/>
  <c r="Q229" i="3"/>
  <c r="M229" i="3"/>
  <c r="R228" i="3"/>
  <c r="M228" i="3"/>
  <c r="M227" i="3"/>
  <c r="R226" i="3"/>
  <c r="M226" i="3"/>
  <c r="R225" i="3"/>
  <c r="M225" i="3"/>
  <c r="R224" i="3"/>
  <c r="Q224" i="3"/>
  <c r="M224" i="3"/>
  <c r="R223" i="3"/>
  <c r="Q223" i="3"/>
  <c r="M223" i="3"/>
  <c r="R222" i="3"/>
  <c r="M222" i="3"/>
  <c r="R221" i="3"/>
  <c r="M221" i="3"/>
  <c r="R220" i="3"/>
  <c r="Q220" i="3"/>
  <c r="M220" i="3"/>
  <c r="R219" i="3"/>
  <c r="Q219" i="3"/>
  <c r="M219" i="3"/>
  <c r="R218" i="3"/>
  <c r="M218" i="3"/>
  <c r="R217" i="3"/>
  <c r="M217" i="3"/>
  <c r="R216" i="3"/>
  <c r="Q216" i="3"/>
  <c r="M216" i="3"/>
  <c r="M215" i="3"/>
  <c r="R214" i="3"/>
  <c r="Q214" i="3"/>
  <c r="M214" i="3"/>
  <c r="R213" i="3"/>
  <c r="M213" i="3"/>
  <c r="R212" i="3"/>
  <c r="M212" i="3"/>
  <c r="R211" i="3"/>
  <c r="Q211" i="3"/>
  <c r="M211" i="3"/>
  <c r="R210" i="3"/>
  <c r="Q210" i="3"/>
  <c r="M210" i="3"/>
  <c r="R209" i="3"/>
  <c r="M209" i="3"/>
  <c r="R208" i="3"/>
  <c r="M208" i="3"/>
  <c r="R207" i="3"/>
  <c r="Q207" i="3"/>
  <c r="M207" i="3"/>
  <c r="R206" i="3"/>
  <c r="Q206" i="3"/>
  <c r="M206" i="3"/>
  <c r="R205" i="3"/>
  <c r="M205" i="3"/>
  <c r="R204" i="3"/>
  <c r="M204" i="3"/>
  <c r="M203" i="3"/>
  <c r="R202" i="3"/>
  <c r="Q202" i="3"/>
  <c r="M202" i="3"/>
  <c r="R201" i="3"/>
  <c r="Q201" i="3"/>
  <c r="M201" i="3"/>
  <c r="R200" i="3"/>
  <c r="M200" i="3"/>
  <c r="R199" i="3"/>
  <c r="M199" i="3"/>
  <c r="R198" i="3"/>
  <c r="Q198" i="3"/>
  <c r="M198" i="3"/>
  <c r="R197" i="3"/>
  <c r="Q197" i="3"/>
  <c r="M197" i="3"/>
  <c r="R196" i="3"/>
  <c r="M196" i="3"/>
  <c r="R195" i="3"/>
  <c r="M195" i="3"/>
  <c r="R194" i="3"/>
  <c r="Q194" i="3"/>
  <c r="M194" i="3"/>
  <c r="R193" i="3"/>
  <c r="Q193" i="3"/>
  <c r="M193" i="3"/>
  <c r="R192" i="3"/>
  <c r="M192" i="3"/>
  <c r="M191" i="3"/>
  <c r="R190" i="3"/>
  <c r="M190" i="3"/>
  <c r="R189" i="3"/>
  <c r="Q189" i="3"/>
  <c r="M189" i="3"/>
  <c r="R188" i="3"/>
  <c r="Q188" i="3"/>
  <c r="M188" i="3"/>
  <c r="R187" i="3"/>
  <c r="M187" i="3"/>
  <c r="R186" i="3"/>
  <c r="Q186" i="3"/>
  <c r="M186" i="3"/>
  <c r="R185" i="3"/>
  <c r="Q185" i="3"/>
  <c r="M185" i="3"/>
  <c r="R184" i="3"/>
  <c r="Q184" i="3"/>
  <c r="M184" i="3"/>
  <c r="R183" i="3"/>
  <c r="Q183" i="3"/>
  <c r="M183" i="3"/>
  <c r="R182" i="3"/>
  <c r="Q182" i="3"/>
  <c r="M182" i="3"/>
  <c r="R181" i="3"/>
  <c r="Q181" i="3"/>
  <c r="M181" i="3"/>
  <c r="R180" i="3"/>
  <c r="Q180" i="3"/>
  <c r="M180" i="3"/>
  <c r="M179" i="3"/>
  <c r="R178" i="3"/>
  <c r="Q178" i="3"/>
  <c r="M178" i="3"/>
  <c r="R177" i="3"/>
  <c r="Q177" i="3"/>
  <c r="M177" i="3"/>
  <c r="R176" i="3"/>
  <c r="Q176" i="3"/>
  <c r="M176" i="3"/>
  <c r="R175" i="3"/>
  <c r="Q175" i="3"/>
  <c r="M175" i="3"/>
  <c r="R174" i="3"/>
  <c r="Q174" i="3"/>
  <c r="M174" i="3"/>
  <c r="R173" i="3"/>
  <c r="Q173" i="3"/>
  <c r="M173" i="3"/>
  <c r="R172" i="3"/>
  <c r="Q172" i="3"/>
  <c r="M172" i="3"/>
  <c r="R171" i="3"/>
  <c r="Q171" i="3"/>
  <c r="M171" i="3"/>
  <c r="R170" i="3"/>
  <c r="Q170" i="3"/>
  <c r="M170" i="3"/>
  <c r="R169" i="3"/>
  <c r="Q169" i="3"/>
  <c r="M169" i="3"/>
  <c r="R168" i="3"/>
  <c r="Q168" i="3"/>
  <c r="M168" i="3"/>
  <c r="M167" i="3"/>
  <c r="R166" i="3"/>
  <c r="Q166" i="3"/>
  <c r="M166" i="3"/>
  <c r="R165" i="3"/>
  <c r="Q165" i="3"/>
  <c r="M165" i="3"/>
  <c r="R164" i="3"/>
  <c r="Q164" i="3"/>
  <c r="M164" i="3"/>
  <c r="R163" i="3"/>
  <c r="Q163" i="3"/>
  <c r="M163" i="3"/>
  <c r="R162" i="3"/>
  <c r="Q162" i="3"/>
  <c r="M162" i="3"/>
  <c r="R161" i="3"/>
  <c r="Q161" i="3"/>
  <c r="M161" i="3"/>
  <c r="R160" i="3"/>
  <c r="Q160" i="3"/>
  <c r="M160" i="3"/>
  <c r="R159" i="3"/>
  <c r="Q159" i="3"/>
  <c r="M159" i="3"/>
  <c r="R158" i="3"/>
  <c r="Q158" i="3"/>
  <c r="M158" i="3"/>
  <c r="R157" i="3"/>
  <c r="Q157" i="3"/>
  <c r="M157" i="3"/>
  <c r="R156" i="3"/>
  <c r="Q156" i="3"/>
  <c r="M156" i="3"/>
  <c r="M155" i="3"/>
  <c r="R154" i="3"/>
  <c r="Q154" i="3"/>
  <c r="M154" i="3"/>
  <c r="R153" i="3"/>
  <c r="Q153" i="3"/>
  <c r="M153" i="3"/>
  <c r="R152" i="3"/>
  <c r="Q152" i="3"/>
  <c r="M152" i="3"/>
  <c r="R151" i="3"/>
  <c r="Q151" i="3"/>
  <c r="G5" i="3"/>
  <c r="M151" i="3"/>
  <c r="R150" i="3"/>
  <c r="Q150" i="3"/>
  <c r="M150" i="3"/>
  <c r="R149" i="3"/>
  <c r="Q149" i="3"/>
  <c r="M149" i="3"/>
  <c r="R148" i="3"/>
  <c r="Q148" i="3"/>
  <c r="M148" i="3"/>
  <c r="R147" i="3"/>
  <c r="Q147" i="3"/>
  <c r="M147" i="3"/>
  <c r="R146" i="3"/>
  <c r="Q146" i="3"/>
  <c r="M146" i="3"/>
  <c r="R145" i="3"/>
  <c r="Q145" i="3"/>
  <c r="M145" i="3"/>
  <c r="R144" i="3"/>
  <c r="Q144" i="3"/>
  <c r="M144" i="3"/>
  <c r="M143" i="3"/>
  <c r="R142" i="3"/>
  <c r="Q142" i="3"/>
  <c r="M142" i="3"/>
  <c r="R141" i="3"/>
  <c r="Q141" i="3"/>
  <c r="M141" i="3"/>
  <c r="R140" i="3"/>
  <c r="Q140" i="3"/>
  <c r="M140" i="3"/>
  <c r="R139" i="3"/>
  <c r="Q139" i="3"/>
  <c r="M139" i="3"/>
  <c r="R138" i="3"/>
  <c r="Q138" i="3"/>
  <c r="M138" i="3"/>
  <c r="R137" i="3"/>
  <c r="Q137" i="3"/>
  <c r="M137" i="3"/>
  <c r="R136" i="3"/>
  <c r="Q136" i="3"/>
  <c r="M136" i="3"/>
  <c r="R135" i="3"/>
  <c r="Q135" i="3"/>
  <c r="M135" i="3"/>
  <c r="R134" i="3"/>
  <c r="Q134" i="3"/>
  <c r="M134" i="3"/>
  <c r="R133" i="3"/>
  <c r="Q133" i="3"/>
  <c r="M133" i="3"/>
  <c r="R132" i="3"/>
  <c r="Q132" i="3"/>
  <c r="M132" i="3"/>
  <c r="M131" i="3"/>
  <c r="R130" i="3"/>
  <c r="Q130" i="3"/>
  <c r="M130" i="3"/>
  <c r="R129" i="3"/>
  <c r="Q129" i="3"/>
  <c r="M129" i="3"/>
  <c r="R128" i="3"/>
  <c r="Q128" i="3"/>
  <c r="M128" i="3"/>
  <c r="R127" i="3"/>
  <c r="Q127" i="3"/>
  <c r="M127" i="3"/>
  <c r="R126" i="3"/>
  <c r="Q126" i="3"/>
  <c r="M126" i="3"/>
  <c r="R125" i="3"/>
  <c r="Q125" i="3"/>
  <c r="M125" i="3"/>
  <c r="R124" i="3"/>
  <c r="Q124" i="3"/>
  <c r="M124" i="3"/>
  <c r="R123" i="3"/>
  <c r="Q123" i="3"/>
  <c r="M123" i="3"/>
  <c r="R122" i="3"/>
  <c r="Q122" i="3"/>
  <c r="M122" i="3"/>
  <c r="R121" i="3"/>
  <c r="Q121" i="3"/>
  <c r="M121" i="3"/>
  <c r="R120" i="3"/>
  <c r="Q120" i="3"/>
  <c r="M120" i="3"/>
  <c r="M119" i="3"/>
  <c r="R118" i="3"/>
  <c r="Q118" i="3"/>
  <c r="M118" i="3"/>
  <c r="R117" i="3"/>
  <c r="Q117" i="3"/>
  <c r="M117" i="3"/>
  <c r="R116" i="3"/>
  <c r="Q116" i="3"/>
  <c r="M116" i="3"/>
  <c r="R115" i="3"/>
  <c r="Q115" i="3"/>
  <c r="M115" i="3"/>
  <c r="R114" i="3"/>
  <c r="Q114" i="3"/>
  <c r="M114" i="3"/>
  <c r="R113" i="3"/>
  <c r="Q113" i="3"/>
  <c r="M113" i="3"/>
  <c r="R112" i="3"/>
  <c r="Q112" i="3"/>
  <c r="M112" i="3"/>
  <c r="R111" i="3"/>
  <c r="Q111" i="3"/>
  <c r="M111" i="3"/>
  <c r="R110" i="3"/>
  <c r="Q110" i="3"/>
  <c r="M110" i="3"/>
  <c r="R109" i="3"/>
  <c r="Q109" i="3"/>
  <c r="M109" i="3"/>
  <c r="R108" i="3"/>
  <c r="Q108" i="3"/>
  <c r="M108" i="3"/>
  <c r="M107" i="3"/>
  <c r="R106" i="3"/>
  <c r="Q106" i="3"/>
  <c r="M106" i="3"/>
  <c r="R105" i="3"/>
  <c r="Q105" i="3"/>
  <c r="M105" i="3"/>
  <c r="R104" i="3"/>
  <c r="Q104" i="3"/>
  <c r="M104" i="3"/>
  <c r="R103" i="3"/>
  <c r="Q103" i="3"/>
  <c r="M103" i="3"/>
  <c r="R102" i="3"/>
  <c r="Q102" i="3"/>
  <c r="M102" i="3"/>
  <c r="R101" i="3"/>
  <c r="Q101" i="3"/>
  <c r="M101" i="3"/>
  <c r="R100" i="3"/>
  <c r="Q100" i="3"/>
  <c r="M100" i="3"/>
  <c r="R99" i="3"/>
  <c r="Q99" i="3"/>
  <c r="M99" i="3"/>
  <c r="R98" i="3"/>
  <c r="Q98" i="3"/>
  <c r="M98" i="3"/>
  <c r="R97" i="3"/>
  <c r="Q97" i="3"/>
  <c r="M97" i="3"/>
  <c r="R96" i="3"/>
  <c r="Q96" i="3"/>
  <c r="M96" i="3"/>
  <c r="M95" i="3"/>
  <c r="R94" i="3"/>
  <c r="Q94" i="3"/>
  <c r="M94" i="3"/>
  <c r="R93" i="3"/>
  <c r="Q93" i="3"/>
  <c r="M93" i="3"/>
  <c r="R92" i="3"/>
  <c r="Q92" i="3"/>
  <c r="M92" i="3"/>
  <c r="R91" i="3"/>
  <c r="Q91" i="3"/>
  <c r="M91" i="3"/>
  <c r="R90" i="3"/>
  <c r="Q90" i="3"/>
  <c r="M90" i="3"/>
  <c r="R89" i="3"/>
  <c r="Q89" i="3"/>
  <c r="M89" i="3"/>
  <c r="R88" i="3"/>
  <c r="Q88" i="3"/>
  <c r="M88" i="3"/>
  <c r="R87" i="3"/>
  <c r="Q87" i="3"/>
  <c r="M87" i="3"/>
  <c r="R86" i="3"/>
  <c r="Q86" i="3"/>
  <c r="M86" i="3"/>
  <c r="R85" i="3"/>
  <c r="Q85" i="3"/>
  <c r="M85" i="3"/>
  <c r="R84" i="3"/>
  <c r="Q84" i="3"/>
  <c r="M84" i="3"/>
  <c r="M83" i="3"/>
  <c r="R82" i="3"/>
  <c r="Q82" i="3"/>
  <c r="M82" i="3"/>
  <c r="R81" i="3"/>
  <c r="Q81" i="3"/>
  <c r="M81" i="3"/>
  <c r="R80" i="3"/>
  <c r="Q80" i="3"/>
  <c r="M80" i="3"/>
  <c r="R79" i="3"/>
  <c r="Q79" i="3"/>
  <c r="M79" i="3"/>
  <c r="R78" i="3"/>
  <c r="Q78" i="3"/>
  <c r="M78" i="3"/>
  <c r="R77" i="3"/>
  <c r="Q77" i="3"/>
  <c r="M77" i="3"/>
  <c r="R76" i="3"/>
  <c r="Q76" i="3"/>
  <c r="M76" i="3"/>
  <c r="R75" i="3"/>
  <c r="Q75" i="3"/>
  <c r="M75" i="3"/>
  <c r="R74" i="3"/>
  <c r="Q74" i="3"/>
  <c r="M74" i="3"/>
  <c r="R73" i="3"/>
  <c r="Q73" i="3"/>
  <c r="M73" i="3"/>
  <c r="R72" i="3"/>
  <c r="Q72" i="3"/>
  <c r="M72" i="3"/>
  <c r="M71" i="3"/>
  <c r="R70" i="3"/>
  <c r="Q70" i="3"/>
  <c r="M70" i="3"/>
  <c r="R69" i="3"/>
  <c r="Q69" i="3"/>
  <c r="M69" i="3"/>
  <c r="R68" i="3"/>
  <c r="Q68" i="3"/>
  <c r="M68" i="3"/>
  <c r="R67" i="3"/>
  <c r="Q67" i="3"/>
  <c r="M67" i="3"/>
  <c r="R66" i="3"/>
  <c r="Q66" i="3"/>
  <c r="M66" i="3"/>
  <c r="R65" i="3"/>
  <c r="Q65" i="3"/>
  <c r="M65" i="3"/>
  <c r="R64" i="3"/>
  <c r="Q64" i="3"/>
  <c r="M64" i="3"/>
  <c r="R63" i="3"/>
  <c r="Q63" i="3"/>
  <c r="M63" i="3"/>
  <c r="R62" i="3"/>
  <c r="Q62" i="3"/>
  <c r="M62" i="3"/>
  <c r="R61" i="3"/>
  <c r="Q61" i="3"/>
  <c r="M61" i="3"/>
  <c r="R60" i="3"/>
  <c r="Q60" i="3"/>
  <c r="M60" i="3"/>
  <c r="M59" i="3"/>
  <c r="R58" i="3"/>
  <c r="Q58" i="3"/>
  <c r="M58" i="3"/>
  <c r="R57" i="3"/>
  <c r="Q57" i="3"/>
  <c r="M57" i="3"/>
  <c r="R56" i="3"/>
  <c r="Q56" i="3"/>
  <c r="M56" i="3"/>
  <c r="R55" i="3"/>
  <c r="Q55" i="3"/>
  <c r="M55" i="3"/>
  <c r="R54" i="3"/>
  <c r="Q54" i="3"/>
  <c r="M54" i="3"/>
  <c r="R53" i="3"/>
  <c r="Q53" i="3"/>
  <c r="M53" i="3"/>
  <c r="R52" i="3"/>
  <c r="Q52" i="3"/>
  <c r="M52" i="3"/>
  <c r="R51" i="3"/>
  <c r="Q51" i="3"/>
  <c r="M51" i="3"/>
  <c r="R50" i="3"/>
  <c r="Q50" i="3"/>
  <c r="M50" i="3"/>
  <c r="R49" i="3"/>
  <c r="Q49" i="3"/>
  <c r="M49" i="3"/>
  <c r="R48" i="3"/>
  <c r="Q48" i="3"/>
  <c r="M48" i="3"/>
  <c r="M47" i="3"/>
  <c r="R46" i="3"/>
  <c r="Q46" i="3"/>
  <c r="M46" i="3"/>
  <c r="R45" i="3"/>
  <c r="Q45" i="3"/>
  <c r="M45" i="3"/>
  <c r="R44" i="3"/>
  <c r="Q44" i="3"/>
  <c r="M44" i="3"/>
  <c r="R43" i="3"/>
  <c r="Q43" i="3"/>
  <c r="M43" i="3"/>
  <c r="R42" i="3"/>
  <c r="Q42" i="3"/>
  <c r="M42" i="3"/>
  <c r="R41" i="3"/>
  <c r="Q41" i="3"/>
  <c r="M41" i="3"/>
  <c r="R40" i="3"/>
  <c r="Q40" i="3"/>
  <c r="M40" i="3"/>
  <c r="R39" i="3"/>
  <c r="Q39" i="3"/>
  <c r="M39" i="3"/>
  <c r="R38" i="3"/>
  <c r="Q38" i="3"/>
  <c r="M38" i="3"/>
  <c r="R37" i="3"/>
  <c r="Q37" i="3"/>
  <c r="M37" i="3"/>
  <c r="R36" i="3"/>
  <c r="Q36" i="3"/>
  <c r="M36" i="3"/>
  <c r="M35" i="3"/>
  <c r="R34" i="3"/>
  <c r="Q34" i="3"/>
  <c r="M34" i="3"/>
  <c r="R33" i="3"/>
  <c r="Q33" i="3"/>
  <c r="M33" i="3"/>
  <c r="R32" i="3"/>
  <c r="Q32" i="3"/>
  <c r="M32" i="3"/>
  <c r="R31" i="3"/>
  <c r="Q31" i="3"/>
  <c r="M31" i="3"/>
  <c r="R30" i="3"/>
  <c r="Q30" i="3"/>
  <c r="M30" i="3"/>
  <c r="R29" i="3"/>
  <c r="Q29" i="3"/>
  <c r="M29" i="3"/>
  <c r="R28" i="3"/>
  <c r="Q28" i="3"/>
  <c r="M28" i="3"/>
  <c r="R27" i="3"/>
  <c r="Q27" i="3"/>
  <c r="M27" i="3"/>
  <c r="R26" i="3"/>
  <c r="Q26" i="3"/>
  <c r="M26" i="3"/>
  <c r="R25" i="3"/>
  <c r="Q25" i="3"/>
  <c r="M25" i="3"/>
  <c r="R24" i="3"/>
  <c r="Q24" i="3"/>
  <c r="M24" i="3"/>
  <c r="M23" i="3"/>
  <c r="R22" i="3"/>
  <c r="Q22" i="3"/>
  <c r="M22" i="3"/>
  <c r="R21" i="3"/>
  <c r="Q21" i="3"/>
  <c r="M21" i="3"/>
  <c r="R20" i="3"/>
  <c r="Q20" i="3"/>
  <c r="M20" i="3"/>
  <c r="R19" i="3"/>
  <c r="Q19" i="3"/>
  <c r="M19" i="3"/>
  <c r="R18" i="3"/>
  <c r="Q18" i="3"/>
  <c r="M18" i="3"/>
  <c r="R17" i="3"/>
  <c r="Q17" i="3"/>
  <c r="M17" i="3"/>
  <c r="R16" i="3"/>
  <c r="Q16" i="3"/>
  <c r="M16" i="3"/>
  <c r="R15" i="3"/>
  <c r="Q15" i="3"/>
  <c r="M15" i="3"/>
  <c r="R14" i="3"/>
  <c r="Q14" i="3"/>
  <c r="M14" i="3"/>
  <c r="R13" i="3"/>
  <c r="Q13" i="3"/>
  <c r="M13" i="3"/>
  <c r="R12" i="3"/>
  <c r="Q12" i="3"/>
  <c r="G12" i="3"/>
  <c r="D12" i="3"/>
  <c r="M12" i="3"/>
  <c r="P3" i="3"/>
  <c r="P5" i="3"/>
  <c r="C8" i="3"/>
  <c r="G6" i="3" s="1"/>
  <c r="L7" i="3"/>
  <c r="L5" i="3"/>
  <c r="L6" i="3" s="1"/>
  <c r="H5" i="4"/>
  <c r="H4" i="4"/>
  <c r="G13" i="4" s="1"/>
  <c r="S16" i="4"/>
  <c r="S17" i="4"/>
  <c r="S18" i="4"/>
  <c r="S19" i="4"/>
  <c r="S20" i="4"/>
  <c r="S21" i="4"/>
  <c r="S22" i="4"/>
  <c r="S23" i="4"/>
  <c r="S24" i="4"/>
  <c r="S30" i="4" s="1"/>
  <c r="R31" i="4"/>
  <c r="R28" i="4"/>
  <c r="D8" i="4"/>
  <c r="M7" i="4"/>
  <c r="M5" i="4"/>
  <c r="D14" i="4" l="1"/>
  <c r="G14" i="4"/>
  <c r="S31" i="4"/>
  <c r="S36" i="4"/>
  <c r="S38" i="4" s="1"/>
  <c r="S35" i="4"/>
  <c r="S34" i="4"/>
  <c r="S33" i="4"/>
  <c r="S32" i="4"/>
  <c r="R29" i="4"/>
  <c r="R30" i="4"/>
  <c r="R32" i="4"/>
  <c r="R36" i="4"/>
  <c r="R45" i="4" s="1"/>
  <c r="R25" i="4"/>
  <c r="R33" i="4"/>
  <c r="R26" i="4"/>
  <c r="R34" i="4"/>
  <c r="S44" i="4"/>
  <c r="R27" i="4"/>
  <c r="H6" i="4"/>
  <c r="R43" i="4"/>
  <c r="S39" i="4"/>
  <c r="S29" i="4"/>
  <c r="S37" i="4"/>
  <c r="S28" i="4"/>
  <c r="S27" i="4"/>
  <c r="S25" i="4"/>
  <c r="M6" i="4"/>
  <c r="S26" i="4"/>
  <c r="S41" i="4"/>
  <c r="S48" i="4"/>
  <c r="S40" i="4"/>
  <c r="S46" i="4"/>
  <c r="Q228" i="3"/>
  <c r="Q232" i="3"/>
  <c r="Q236" i="3"/>
  <c r="Q241" i="3"/>
  <c r="R251" i="3"/>
  <c r="R247" i="3"/>
  <c r="R243" i="3"/>
  <c r="R249" i="3"/>
  <c r="R245" i="3"/>
  <c r="Q190" i="3"/>
  <c r="Q195" i="3"/>
  <c r="Q199" i="3"/>
  <c r="Q204" i="3"/>
  <c r="Q208" i="3"/>
  <c r="Q212" i="3"/>
  <c r="Q217" i="3"/>
  <c r="Q221" i="3"/>
  <c r="Q225" i="3"/>
  <c r="Q230" i="3"/>
  <c r="Q234" i="3"/>
  <c r="Q238" i="3"/>
  <c r="Q245" i="3"/>
  <c r="Q187" i="3"/>
  <c r="Q192" i="3"/>
  <c r="Q196" i="3"/>
  <c r="Q200" i="3"/>
  <c r="Q205" i="3"/>
  <c r="Q209" i="3"/>
  <c r="Q213" i="3"/>
  <c r="Q218" i="3"/>
  <c r="Q222" i="3"/>
  <c r="Q226" i="3"/>
  <c r="Q231" i="3"/>
  <c r="Q235" i="3"/>
  <c r="Q240" i="3"/>
  <c r="Q244" i="3"/>
  <c r="Q251" i="3"/>
  <c r="Q248" i="3"/>
  <c r="Q247" i="3"/>
  <c r="Q243" i="3"/>
  <c r="Q250" i="3"/>
  <c r="Q246" i="3"/>
  <c r="K12" i="3"/>
  <c r="B13" i="3" s="1"/>
  <c r="K14" i="4" l="1"/>
  <c r="L14" i="4" s="1"/>
  <c r="C15" i="4" s="1"/>
  <c r="H14" i="4"/>
  <c r="R44" i="4"/>
  <c r="S47" i="4"/>
  <c r="S42" i="4"/>
  <c r="R47" i="4"/>
  <c r="S45" i="4"/>
  <c r="R39" i="4"/>
  <c r="S43" i="4"/>
  <c r="R48" i="4"/>
  <c r="R46" i="4"/>
  <c r="R37" i="4"/>
  <c r="R40" i="4"/>
  <c r="R38" i="4"/>
  <c r="R42" i="4"/>
  <c r="R41" i="4"/>
  <c r="Q263" i="3"/>
  <c r="Q261" i="3"/>
  <c r="Q257" i="3"/>
  <c r="Q253" i="3"/>
  <c r="Q260" i="3"/>
  <c r="Q256" i="3"/>
  <c r="Q252" i="3"/>
  <c r="Q259" i="3"/>
  <c r="Q255" i="3"/>
  <c r="Q262" i="3"/>
  <c r="Q258" i="3"/>
  <c r="Q254" i="3"/>
  <c r="S53" i="4"/>
  <c r="S54" i="4"/>
  <c r="S55" i="4"/>
  <c r="S56" i="4"/>
  <c r="S49" i="4"/>
  <c r="S57" i="4"/>
  <c r="S50" i="4"/>
  <c r="S58" i="4"/>
  <c r="S52" i="4"/>
  <c r="S60" i="4"/>
  <c r="S51" i="4"/>
  <c r="S59" i="4"/>
  <c r="C13" i="3"/>
  <c r="G13" i="3" s="1"/>
  <c r="E13" i="3"/>
  <c r="J13" i="3" s="1"/>
  <c r="K13" i="3" s="1"/>
  <c r="B14" i="3" s="1"/>
  <c r="F13" i="3"/>
  <c r="F12" i="3" s="1"/>
  <c r="D13" i="3"/>
  <c r="R263" i="3"/>
  <c r="R260" i="3"/>
  <c r="R256" i="3"/>
  <c r="R252" i="3"/>
  <c r="R262" i="3"/>
  <c r="R258" i="3"/>
  <c r="R254" i="3"/>
  <c r="R257" i="3"/>
  <c r="R255" i="3"/>
  <c r="R253" i="3"/>
  <c r="R261" i="3"/>
  <c r="R259" i="3"/>
  <c r="M14" i="4" l="1"/>
  <c r="P14" i="4" s="1"/>
  <c r="Q14" i="4" s="1"/>
  <c r="D15" i="4"/>
  <c r="E15" i="4" s="1"/>
  <c r="F15" i="4" s="1"/>
  <c r="G15" i="4"/>
  <c r="R57" i="4"/>
  <c r="R49" i="4"/>
  <c r="R60" i="4"/>
  <c r="R56" i="4"/>
  <c r="R52" i="4"/>
  <c r="R55" i="4"/>
  <c r="R59" i="4"/>
  <c r="R54" i="4"/>
  <c r="R58" i="4"/>
  <c r="R51" i="4"/>
  <c r="R53" i="4"/>
  <c r="R50" i="4"/>
  <c r="C14" i="3"/>
  <c r="G14" i="3" s="1"/>
  <c r="E14" i="3"/>
  <c r="J14" i="3" s="1"/>
  <c r="K14" i="3" s="1"/>
  <c r="B15" i="3" s="1"/>
  <c r="F14" i="3"/>
  <c r="D14" i="3"/>
  <c r="N14" i="3" s="1"/>
  <c r="L13" i="3"/>
  <c r="O13" i="3" s="1"/>
  <c r="P13" i="3" s="1"/>
  <c r="R275" i="3"/>
  <c r="R273" i="3"/>
  <c r="R269" i="3"/>
  <c r="R265" i="3"/>
  <c r="R271" i="3"/>
  <c r="R267" i="3"/>
  <c r="R274" i="3"/>
  <c r="R272" i="3"/>
  <c r="R270" i="3"/>
  <c r="R268" i="3"/>
  <c r="R266" i="3"/>
  <c r="R264" i="3"/>
  <c r="N13" i="3"/>
  <c r="N12" i="3"/>
  <c r="L12" i="3"/>
  <c r="S61" i="4"/>
  <c r="S69" i="4"/>
  <c r="S62" i="4"/>
  <c r="S70" i="4"/>
  <c r="S63" i="4"/>
  <c r="S71" i="4"/>
  <c r="S64" i="4"/>
  <c r="S72" i="4"/>
  <c r="S65" i="4"/>
  <c r="S66" i="4"/>
  <c r="S68" i="4"/>
  <c r="S67" i="4"/>
  <c r="Q274" i="3"/>
  <c r="Q270" i="3"/>
  <c r="Q266" i="3"/>
  <c r="Q273" i="3"/>
  <c r="Q269" i="3"/>
  <c r="Q265" i="3"/>
  <c r="Q275" i="3"/>
  <c r="Q272" i="3"/>
  <c r="Q268" i="3"/>
  <c r="Q264" i="3"/>
  <c r="Q267" i="3"/>
  <c r="Q271" i="3"/>
  <c r="H15" i="4" l="1"/>
  <c r="R61" i="4"/>
  <c r="R70" i="4"/>
  <c r="R62" i="4"/>
  <c r="R71" i="4"/>
  <c r="R68" i="4"/>
  <c r="R67" i="4"/>
  <c r="R65" i="4"/>
  <c r="R66" i="4"/>
  <c r="R69" i="4"/>
  <c r="R64" i="4"/>
  <c r="R72" i="4"/>
  <c r="R63" i="4"/>
  <c r="C15" i="3"/>
  <c r="E15" i="3"/>
  <c r="J15" i="3" s="1"/>
  <c r="G15" i="3"/>
  <c r="F15" i="3"/>
  <c r="D15" i="3"/>
  <c r="L14" i="3"/>
  <c r="O14" i="3" s="1"/>
  <c r="P14" i="3" s="1"/>
  <c r="S77" i="4"/>
  <c r="S78" i="4"/>
  <c r="S79" i="4"/>
  <c r="S80" i="4"/>
  <c r="S73" i="4"/>
  <c r="S81" i="4"/>
  <c r="S74" i="4"/>
  <c r="S82" i="4"/>
  <c r="S76" i="4"/>
  <c r="S84" i="4"/>
  <c r="S75" i="4"/>
  <c r="S83" i="4"/>
  <c r="O12" i="3"/>
  <c r="P12" i="3" s="1"/>
  <c r="R286" i="3"/>
  <c r="R282" i="3"/>
  <c r="R278" i="3"/>
  <c r="R287" i="3"/>
  <c r="R284" i="3"/>
  <c r="R280" i="3"/>
  <c r="R276" i="3"/>
  <c r="R285" i="3"/>
  <c r="R283" i="3"/>
  <c r="R281" i="3"/>
  <c r="R279" i="3"/>
  <c r="R277" i="3"/>
  <c r="Q287" i="3"/>
  <c r="Q283" i="3"/>
  <c r="Q279" i="3"/>
  <c r="Q286" i="3"/>
  <c r="Q282" i="3"/>
  <c r="Q278" i="3"/>
  <c r="Q285" i="3"/>
  <c r="Q281" i="3"/>
  <c r="Q277" i="3"/>
  <c r="Q280" i="3"/>
  <c r="Q276" i="3"/>
  <c r="Q284" i="3"/>
  <c r="K15" i="4" l="1"/>
  <c r="L15" i="4" s="1"/>
  <c r="R74" i="4"/>
  <c r="R82" i="4"/>
  <c r="R84" i="4"/>
  <c r="R81" i="4"/>
  <c r="R77" i="4"/>
  <c r="R79" i="4"/>
  <c r="R78" i="4"/>
  <c r="R73" i="4"/>
  <c r="R80" i="4"/>
  <c r="R76" i="4"/>
  <c r="R75" i="4"/>
  <c r="R83" i="4"/>
  <c r="K15" i="3"/>
  <c r="B16" i="3" s="1"/>
  <c r="N15" i="3"/>
  <c r="L15" i="3"/>
  <c r="Q299" i="3"/>
  <c r="Q296" i="3"/>
  <c r="Q292" i="3"/>
  <c r="Q288" i="3"/>
  <c r="Q295" i="3"/>
  <c r="Q291" i="3"/>
  <c r="Q298" i="3"/>
  <c r="Q294" i="3"/>
  <c r="Q290" i="3"/>
  <c r="Q289" i="3"/>
  <c r="Q293" i="3"/>
  <c r="Q297" i="3"/>
  <c r="R299" i="3"/>
  <c r="R296" i="3"/>
  <c r="R292" i="3"/>
  <c r="R295" i="3"/>
  <c r="R291" i="3"/>
  <c r="R298" i="3"/>
  <c r="R294" i="3"/>
  <c r="R297" i="3"/>
  <c r="R293" i="3"/>
  <c r="R289" i="3"/>
  <c r="R288" i="3"/>
  <c r="R290" i="3"/>
  <c r="S85" i="4"/>
  <c r="S93" i="4"/>
  <c r="S86" i="4"/>
  <c r="S94" i="4"/>
  <c r="S87" i="4"/>
  <c r="S95" i="4"/>
  <c r="S88" i="4"/>
  <c r="S96" i="4"/>
  <c r="S89" i="4"/>
  <c r="S90" i="4"/>
  <c r="S92" i="4"/>
  <c r="S91" i="4"/>
  <c r="M15" i="4" l="1"/>
  <c r="P15" i="4" s="1"/>
  <c r="Q15" i="4" s="1"/>
  <c r="R95" i="4"/>
  <c r="R96" i="4"/>
  <c r="R89" i="4"/>
  <c r="R86" i="4"/>
  <c r="R87" i="4"/>
  <c r="R90" i="4"/>
  <c r="R94" i="4"/>
  <c r="R92" i="4"/>
  <c r="R88" i="4"/>
  <c r="R93" i="4"/>
  <c r="R85" i="4"/>
  <c r="R91" i="4"/>
  <c r="S101" i="4"/>
  <c r="S102" i="4"/>
  <c r="S103" i="4"/>
  <c r="S104" i="4"/>
  <c r="S97" i="4"/>
  <c r="S105" i="4"/>
  <c r="S98" i="4"/>
  <c r="S106" i="4"/>
  <c r="S100" i="4"/>
  <c r="S108" i="4"/>
  <c r="S99" i="4"/>
  <c r="S107" i="4"/>
  <c r="C16" i="3"/>
  <c r="G16" i="3" s="1"/>
  <c r="E16" i="3"/>
  <c r="J16" i="3"/>
  <c r="F16" i="3"/>
  <c r="D16" i="3"/>
  <c r="R311" i="3"/>
  <c r="R309" i="3"/>
  <c r="R305" i="3"/>
  <c r="R301" i="3"/>
  <c r="R308" i="3"/>
  <c r="R304" i="3"/>
  <c r="R300" i="3"/>
  <c r="R307" i="3"/>
  <c r="R303" i="3"/>
  <c r="R310" i="3"/>
  <c r="R306" i="3"/>
  <c r="R302" i="3"/>
  <c r="Q309" i="3"/>
  <c r="Q305" i="3"/>
  <c r="Q301" i="3"/>
  <c r="Q308" i="3"/>
  <c r="Q304" i="3"/>
  <c r="Q300" i="3"/>
  <c r="Q311" i="3"/>
  <c r="Q307" i="3"/>
  <c r="Q303" i="3"/>
  <c r="Q310" i="3"/>
  <c r="Q306" i="3"/>
  <c r="Q302" i="3"/>
  <c r="O15" i="3"/>
  <c r="P15" i="3" s="1"/>
  <c r="C16" i="4" l="1"/>
  <c r="R102" i="4"/>
  <c r="R97" i="4"/>
  <c r="R108" i="4"/>
  <c r="R101" i="4"/>
  <c r="R107" i="4"/>
  <c r="R106" i="4"/>
  <c r="R104" i="4"/>
  <c r="R99" i="4"/>
  <c r="R103" i="4"/>
  <c r="R105" i="4"/>
  <c r="R100" i="4"/>
  <c r="R98" i="4"/>
  <c r="L16" i="3"/>
  <c r="K16" i="3"/>
  <c r="B17" i="3" s="1"/>
  <c r="S109" i="4"/>
  <c r="S117" i="4"/>
  <c r="S110" i="4"/>
  <c r="S118" i="4"/>
  <c r="S111" i="4"/>
  <c r="S119" i="4"/>
  <c r="S112" i="4"/>
  <c r="S120" i="4"/>
  <c r="S113" i="4"/>
  <c r="S114" i="4"/>
  <c r="S116" i="4"/>
  <c r="S115" i="4"/>
  <c r="R323" i="3"/>
  <c r="R322" i="3"/>
  <c r="R318" i="3"/>
  <c r="R314" i="3"/>
  <c r="R321" i="3"/>
  <c r="R317" i="3"/>
  <c r="R313" i="3"/>
  <c r="R320" i="3"/>
  <c r="R316" i="3"/>
  <c r="R312" i="3"/>
  <c r="R319" i="3"/>
  <c r="R315" i="3"/>
  <c r="N16" i="3"/>
  <c r="Q323" i="3"/>
  <c r="Q322" i="3"/>
  <c r="Q318" i="3"/>
  <c r="Q314" i="3"/>
  <c r="Q321" i="3"/>
  <c r="Q317" i="3"/>
  <c r="Q313" i="3"/>
  <c r="Q320" i="3"/>
  <c r="Q316" i="3"/>
  <c r="Q312" i="3"/>
  <c r="Q319" i="3"/>
  <c r="Q315" i="3"/>
  <c r="J16" i="4" l="1"/>
  <c r="N16" i="4"/>
  <c r="G16" i="4"/>
  <c r="D16" i="4"/>
  <c r="E16" i="4" s="1"/>
  <c r="R118" i="4"/>
  <c r="R115" i="4"/>
  <c r="R114" i="4"/>
  <c r="R110" i="4"/>
  <c r="R117" i="4"/>
  <c r="R113" i="4"/>
  <c r="R120" i="4"/>
  <c r="R109" i="4"/>
  <c r="R116" i="4"/>
  <c r="R112" i="4"/>
  <c r="R119" i="4"/>
  <c r="R111" i="4"/>
  <c r="E17" i="3"/>
  <c r="J17" i="3" s="1"/>
  <c r="C17" i="3"/>
  <c r="G17" i="3"/>
  <c r="F17" i="3"/>
  <c r="D17" i="3"/>
  <c r="S125" i="4"/>
  <c r="S126" i="4"/>
  <c r="S127" i="4"/>
  <c r="S128" i="4"/>
  <c r="S121" i="4"/>
  <c r="S129" i="4"/>
  <c r="S122" i="4"/>
  <c r="S130" i="4"/>
  <c r="S124" i="4"/>
  <c r="S132" i="4"/>
  <c r="S131" i="4"/>
  <c r="S123" i="4"/>
  <c r="Q335" i="3"/>
  <c r="Q331" i="3"/>
  <c r="Q327" i="3"/>
  <c r="Q334" i="3"/>
  <c r="Q330" i="3"/>
  <c r="Q326" i="3"/>
  <c r="Q333" i="3"/>
  <c r="Q329" i="3"/>
  <c r="Q325" i="3"/>
  <c r="Q332" i="3"/>
  <c r="Q328" i="3"/>
  <c r="Q324" i="3"/>
  <c r="R335" i="3"/>
  <c r="R331" i="3"/>
  <c r="R327" i="3"/>
  <c r="R334" i="3"/>
  <c r="R330" i="3"/>
  <c r="R326" i="3"/>
  <c r="R333" i="3"/>
  <c r="R329" i="3"/>
  <c r="R325" i="3"/>
  <c r="R332" i="3"/>
  <c r="R328" i="3"/>
  <c r="R324" i="3"/>
  <c r="O16" i="3"/>
  <c r="P16" i="3" s="1"/>
  <c r="F16" i="4" l="1"/>
  <c r="K16" i="4" s="1"/>
  <c r="L16" i="4" s="1"/>
  <c r="O16" i="4"/>
  <c r="H16" i="4"/>
  <c r="R132" i="4"/>
  <c r="R125" i="4"/>
  <c r="R130" i="4"/>
  <c r="R122" i="4"/>
  <c r="R131" i="4"/>
  <c r="R129" i="4"/>
  <c r="R123" i="4"/>
  <c r="R121" i="4"/>
  <c r="R128" i="4"/>
  <c r="R127" i="4"/>
  <c r="R126" i="4"/>
  <c r="R124" i="4"/>
  <c r="K17" i="3"/>
  <c r="B18" i="3" s="1"/>
  <c r="L17" i="3"/>
  <c r="N17" i="3"/>
  <c r="S133" i="4"/>
  <c r="S141" i="4"/>
  <c r="S134" i="4"/>
  <c r="S142" i="4"/>
  <c r="S135" i="4"/>
  <c r="S143" i="4"/>
  <c r="S136" i="4"/>
  <c r="S144" i="4"/>
  <c r="S137" i="4"/>
  <c r="S138" i="4"/>
  <c r="S140" i="4"/>
  <c r="S139" i="4"/>
  <c r="Q347" i="3"/>
  <c r="Q344" i="3"/>
  <c r="Q340" i="3"/>
  <c r="Q336" i="3"/>
  <c r="Q343" i="3"/>
  <c r="Q339" i="3"/>
  <c r="Q346" i="3"/>
  <c r="Q342" i="3"/>
  <c r="Q338" i="3"/>
  <c r="Q345" i="3"/>
  <c r="Q341" i="3"/>
  <c r="Q337" i="3"/>
  <c r="R344" i="3"/>
  <c r="R340" i="3"/>
  <c r="R336" i="3"/>
  <c r="R343" i="3"/>
  <c r="R339" i="3"/>
  <c r="R346" i="3"/>
  <c r="R342" i="3"/>
  <c r="R338" i="3"/>
  <c r="R347" i="3"/>
  <c r="R345" i="3"/>
  <c r="R341" i="3"/>
  <c r="R337" i="3"/>
  <c r="M16" i="4" l="1"/>
  <c r="C17" i="4"/>
  <c r="R139" i="4"/>
  <c r="R141" i="4"/>
  <c r="R138" i="4"/>
  <c r="R133" i="4"/>
  <c r="R136" i="4"/>
  <c r="R143" i="4"/>
  <c r="R135" i="4"/>
  <c r="R137" i="4"/>
  <c r="R140" i="4"/>
  <c r="R142" i="4"/>
  <c r="R144" i="4"/>
  <c r="R134" i="4"/>
  <c r="O17" i="3"/>
  <c r="P17" i="3" s="1"/>
  <c r="E18" i="3"/>
  <c r="J18" i="3"/>
  <c r="C18" i="3"/>
  <c r="G18" i="3" s="1"/>
  <c r="L18" i="3" s="1"/>
  <c r="K18" i="3"/>
  <c r="B19" i="3" s="1"/>
  <c r="F18" i="3"/>
  <c r="D18" i="3"/>
  <c r="S149" i="4"/>
  <c r="S150" i="4"/>
  <c r="S151" i="4"/>
  <c r="S152" i="4"/>
  <c r="S145" i="4"/>
  <c r="S153" i="4"/>
  <c r="S146" i="4"/>
  <c r="S154" i="4"/>
  <c r="S148" i="4"/>
  <c r="S156" i="4"/>
  <c r="S147" i="4"/>
  <c r="S155" i="4"/>
  <c r="Q359" i="3"/>
  <c r="Q357" i="3"/>
  <c r="Q353" i="3"/>
  <c r="Q349" i="3"/>
  <c r="Q356" i="3"/>
  <c r="Q352" i="3"/>
  <c r="Q348" i="3"/>
  <c r="Q355" i="3"/>
  <c r="Q351" i="3"/>
  <c r="Q358" i="3"/>
  <c r="Q354" i="3"/>
  <c r="Q350" i="3"/>
  <c r="R359" i="3"/>
  <c r="R357" i="3"/>
  <c r="R353" i="3"/>
  <c r="R349" i="3"/>
  <c r="R356" i="3"/>
  <c r="R352" i="3"/>
  <c r="R348" i="3"/>
  <c r="R355" i="3"/>
  <c r="R351" i="3"/>
  <c r="R358" i="3"/>
  <c r="R354" i="3"/>
  <c r="R350" i="3"/>
  <c r="N17" i="4" l="1"/>
  <c r="J17" i="4"/>
  <c r="P16" i="4"/>
  <c r="Q16" i="4" s="1"/>
  <c r="G17" i="4"/>
  <c r="D17" i="4"/>
  <c r="E17" i="4" s="1"/>
  <c r="R148" i="4"/>
  <c r="R151" i="4"/>
  <c r="R154" i="4"/>
  <c r="R152" i="4"/>
  <c r="R155" i="4"/>
  <c r="R150" i="4"/>
  <c r="R145" i="4"/>
  <c r="R147" i="4"/>
  <c r="R149" i="4"/>
  <c r="R153" i="4"/>
  <c r="R146" i="4"/>
  <c r="R156" i="4"/>
  <c r="O18" i="3"/>
  <c r="P18" i="3" s="1"/>
  <c r="C19" i="3"/>
  <c r="E19" i="3"/>
  <c r="J19" i="3" s="1"/>
  <c r="K19" i="3" s="1"/>
  <c r="B20" i="3" s="1"/>
  <c r="G19" i="3"/>
  <c r="F19" i="3"/>
  <c r="D19" i="3"/>
  <c r="R371" i="3"/>
  <c r="R370" i="3"/>
  <c r="R366" i="3"/>
  <c r="R362" i="3"/>
  <c r="R369" i="3"/>
  <c r="R365" i="3"/>
  <c r="R361" i="3"/>
  <c r="R368" i="3"/>
  <c r="R364" i="3"/>
  <c r="R360" i="3"/>
  <c r="R367" i="3"/>
  <c r="R363" i="3"/>
  <c r="S157" i="4"/>
  <c r="S165" i="4"/>
  <c r="S158" i="4"/>
  <c r="S166" i="4"/>
  <c r="S159" i="4"/>
  <c r="S167" i="4"/>
  <c r="S160" i="4"/>
  <c r="S168" i="4"/>
  <c r="S161" i="4"/>
  <c r="S162" i="4"/>
  <c r="S164" i="4"/>
  <c r="S163" i="4"/>
  <c r="Q370" i="3"/>
  <c r="Q366" i="3"/>
  <c r="Q362" i="3"/>
  <c r="Q369" i="3"/>
  <c r="Q365" i="3"/>
  <c r="Q361" i="3"/>
  <c r="Q368" i="3"/>
  <c r="Q364" i="3"/>
  <c r="Q360" i="3"/>
  <c r="Q371" i="3"/>
  <c r="L9" i="3" s="1"/>
  <c r="Q367" i="3"/>
  <c r="Q363" i="3"/>
  <c r="N18" i="3"/>
  <c r="F17" i="4" l="1"/>
  <c r="K17" i="4" s="1"/>
  <c r="L17" i="4" s="1"/>
  <c r="O17" i="4"/>
  <c r="H17" i="4"/>
  <c r="R165" i="4"/>
  <c r="R159" i="4"/>
  <c r="R164" i="4"/>
  <c r="R157" i="4"/>
  <c r="R166" i="4"/>
  <c r="R158" i="4"/>
  <c r="R160" i="4"/>
  <c r="R161" i="4"/>
  <c r="R163" i="4"/>
  <c r="R162" i="4"/>
  <c r="R168" i="4"/>
  <c r="R167" i="4"/>
  <c r="C20" i="3"/>
  <c r="K20" i="3" s="1"/>
  <c r="B21" i="3" s="1"/>
  <c r="E20" i="3"/>
  <c r="J20" i="3" s="1"/>
  <c r="F20" i="3"/>
  <c r="D20" i="3"/>
  <c r="N20" i="3" s="1"/>
  <c r="G20" i="3"/>
  <c r="L19" i="3"/>
  <c r="S173" i="4"/>
  <c r="S174" i="4"/>
  <c r="S175" i="4"/>
  <c r="S176" i="4"/>
  <c r="S169" i="4"/>
  <c r="S177" i="4"/>
  <c r="S170" i="4"/>
  <c r="S178" i="4"/>
  <c r="S172" i="4"/>
  <c r="S180" i="4"/>
  <c r="S171" i="4"/>
  <c r="S179" i="4"/>
  <c r="S8" i="3"/>
  <c r="N19" i="3"/>
  <c r="M17" i="4" l="1"/>
  <c r="P17" i="4" s="1"/>
  <c r="Q17" i="4" s="1"/>
  <c r="C18" i="4"/>
  <c r="R178" i="4"/>
  <c r="R180" i="4"/>
  <c r="R173" i="4"/>
  <c r="R175" i="4"/>
  <c r="R170" i="4"/>
  <c r="R177" i="4"/>
  <c r="R172" i="4"/>
  <c r="R174" i="4"/>
  <c r="R169" i="4"/>
  <c r="R179" i="4"/>
  <c r="R171" i="4"/>
  <c r="R176" i="4"/>
  <c r="C21" i="3"/>
  <c r="E21" i="3"/>
  <c r="J21" i="3" s="1"/>
  <c r="K21" i="3" s="1"/>
  <c r="B22" i="3" s="1"/>
  <c r="G21" i="3"/>
  <c r="L21" i="3" s="1"/>
  <c r="O21" i="3" s="1"/>
  <c r="P21" i="3" s="1"/>
  <c r="F21" i="3"/>
  <c r="D21" i="3"/>
  <c r="N21" i="3" s="1"/>
  <c r="L20" i="3"/>
  <c r="O20" i="3" s="1"/>
  <c r="P20" i="3" s="1"/>
  <c r="S181" i="4"/>
  <c r="S189" i="4"/>
  <c r="S182" i="4"/>
  <c r="S190" i="4"/>
  <c r="S183" i="4"/>
  <c r="S191" i="4"/>
  <c r="S184" i="4"/>
  <c r="S192" i="4"/>
  <c r="S185" i="4"/>
  <c r="S186" i="4"/>
  <c r="S188" i="4"/>
  <c r="S187" i="4"/>
  <c r="O19" i="3"/>
  <c r="P19" i="3" s="1"/>
  <c r="N18" i="4" l="1"/>
  <c r="J18" i="4"/>
  <c r="G18" i="4"/>
  <c r="D18" i="4"/>
  <c r="E18" i="4" s="1"/>
  <c r="R190" i="4"/>
  <c r="R184" i="4"/>
  <c r="R188" i="4"/>
  <c r="R191" i="4"/>
  <c r="R182" i="4"/>
  <c r="R183" i="4"/>
  <c r="R189" i="4"/>
  <c r="R186" i="4"/>
  <c r="R185" i="4"/>
  <c r="R181" i="4"/>
  <c r="R192" i="4"/>
  <c r="R187" i="4"/>
  <c r="C22" i="3"/>
  <c r="E22" i="3"/>
  <c r="J22" i="3" s="1"/>
  <c r="F22" i="3"/>
  <c r="D22" i="3"/>
  <c r="N22" i="3" s="1"/>
  <c r="S197" i="4"/>
  <c r="S198" i="4"/>
  <c r="S199" i="4"/>
  <c r="S200" i="4"/>
  <c r="S193" i="4"/>
  <c r="S201" i="4"/>
  <c r="S194" i="4"/>
  <c r="S202" i="4"/>
  <c r="S196" i="4"/>
  <c r="S204" i="4"/>
  <c r="S203" i="4"/>
  <c r="S195" i="4"/>
  <c r="F18" i="4" l="1"/>
  <c r="K18" i="4" s="1"/>
  <c r="L18" i="4" s="1"/>
  <c r="C19" i="4" s="1"/>
  <c r="O18" i="4"/>
  <c r="H18" i="4"/>
  <c r="R200" i="4"/>
  <c r="R202" i="4"/>
  <c r="R194" i="4"/>
  <c r="R195" i="4"/>
  <c r="R203" i="4"/>
  <c r="R199" i="4"/>
  <c r="R196" i="4"/>
  <c r="R204" i="4"/>
  <c r="R201" i="4"/>
  <c r="R198" i="4"/>
  <c r="R193" i="4"/>
  <c r="R197" i="4"/>
  <c r="K22" i="3"/>
  <c r="B23" i="3" s="1"/>
  <c r="G22" i="3"/>
  <c r="L22" i="3" s="1"/>
  <c r="O22" i="3" s="1"/>
  <c r="P22" i="3" s="1"/>
  <c r="S205" i="4"/>
  <c r="S213" i="4"/>
  <c r="S206" i="4"/>
  <c r="S214" i="4"/>
  <c r="S207" i="4"/>
  <c r="S215" i="4"/>
  <c r="S208" i="4"/>
  <c r="S216" i="4"/>
  <c r="S209" i="4"/>
  <c r="S210" i="4"/>
  <c r="S212" i="4"/>
  <c r="S211" i="4"/>
  <c r="N19" i="4" l="1"/>
  <c r="J19" i="4"/>
  <c r="M18" i="4"/>
  <c r="D19" i="4"/>
  <c r="E19" i="4" s="1"/>
  <c r="G19" i="4"/>
  <c r="R209" i="4"/>
  <c r="R208" i="4"/>
  <c r="R216" i="4"/>
  <c r="R205" i="4"/>
  <c r="R210" i="4"/>
  <c r="R215" i="4"/>
  <c r="R206" i="4"/>
  <c r="R207" i="4"/>
  <c r="R214" i="4"/>
  <c r="R211" i="4"/>
  <c r="R212" i="4"/>
  <c r="R213" i="4"/>
  <c r="S221" i="4"/>
  <c r="S222" i="4"/>
  <c r="S223" i="4"/>
  <c r="S224" i="4"/>
  <c r="S217" i="4"/>
  <c r="S225" i="4"/>
  <c r="S218" i="4"/>
  <c r="S226" i="4"/>
  <c r="S220" i="4"/>
  <c r="S228" i="4"/>
  <c r="S219" i="4"/>
  <c r="S227" i="4"/>
  <c r="C23" i="3"/>
  <c r="G23" i="3" s="1"/>
  <c r="L23" i="3" s="1"/>
  <c r="O23" i="3" s="1"/>
  <c r="P23" i="3" s="1"/>
  <c r="E23" i="3"/>
  <c r="J23" i="3" s="1"/>
  <c r="F23" i="3"/>
  <c r="D23" i="3"/>
  <c r="N23" i="3" s="1"/>
  <c r="F19" i="4" l="1"/>
  <c r="K19" i="4" s="1"/>
  <c r="L19" i="4" s="1"/>
  <c r="C20" i="4" s="1"/>
  <c r="O19" i="4"/>
  <c r="P18" i="4"/>
  <c r="Q18" i="4" s="1"/>
  <c r="H19" i="4"/>
  <c r="R222" i="4"/>
  <c r="R226" i="4"/>
  <c r="R220" i="4"/>
  <c r="R227" i="4"/>
  <c r="R217" i="4"/>
  <c r="R219" i="4"/>
  <c r="R221" i="4"/>
  <c r="R218" i="4"/>
  <c r="R223" i="4"/>
  <c r="R224" i="4"/>
  <c r="R225" i="4"/>
  <c r="R228" i="4"/>
  <c r="K23" i="3"/>
  <c r="B24" i="3" s="1"/>
  <c r="S229" i="4"/>
  <c r="S237" i="4"/>
  <c r="S230" i="4"/>
  <c r="S238" i="4"/>
  <c r="S231" i="4"/>
  <c r="S239" i="4"/>
  <c r="S232" i="4"/>
  <c r="S240" i="4"/>
  <c r="S233" i="4"/>
  <c r="S234" i="4"/>
  <c r="S236" i="4"/>
  <c r="S235" i="4"/>
  <c r="N20" i="4" l="1"/>
  <c r="J20" i="4"/>
  <c r="M19" i="4"/>
  <c r="D20" i="4"/>
  <c r="E20" i="4" s="1"/>
  <c r="G20" i="4"/>
  <c r="R233" i="4"/>
  <c r="R239" i="4"/>
  <c r="R231" i="4"/>
  <c r="R238" i="4"/>
  <c r="R232" i="4"/>
  <c r="R229" i="4"/>
  <c r="R230" i="4"/>
  <c r="R234" i="4"/>
  <c r="R235" i="4"/>
  <c r="R240" i="4"/>
  <c r="R236" i="4"/>
  <c r="R237" i="4"/>
  <c r="C24" i="3"/>
  <c r="K24" i="3" s="1"/>
  <c r="B25" i="3" s="1"/>
  <c r="E24" i="3"/>
  <c r="J24" i="3"/>
  <c r="G24" i="3"/>
  <c r="F24" i="3"/>
  <c r="D24" i="3"/>
  <c r="N24" i="3" s="1"/>
  <c r="S245" i="4"/>
  <c r="S246" i="4"/>
  <c r="S247" i="4"/>
  <c r="S248" i="4"/>
  <c r="S241" i="4"/>
  <c r="S249" i="4"/>
  <c r="S242" i="4"/>
  <c r="S250" i="4"/>
  <c r="S244" i="4"/>
  <c r="S252" i="4"/>
  <c r="S243" i="4"/>
  <c r="S251" i="4"/>
  <c r="F20" i="4" l="1"/>
  <c r="K20" i="4" s="1"/>
  <c r="L20" i="4" s="1"/>
  <c r="C21" i="4" s="1"/>
  <c r="O20" i="4"/>
  <c r="P19" i="4"/>
  <c r="Q19" i="4" s="1"/>
  <c r="H20" i="4"/>
  <c r="R248" i="4"/>
  <c r="R250" i="4"/>
  <c r="R246" i="4"/>
  <c r="R242" i="4"/>
  <c r="R245" i="4"/>
  <c r="R249" i="4"/>
  <c r="R241" i="4"/>
  <c r="R252" i="4"/>
  <c r="R244" i="4"/>
  <c r="R247" i="4"/>
  <c r="R251" i="4"/>
  <c r="R243" i="4"/>
  <c r="E25" i="3"/>
  <c r="J25" i="3" s="1"/>
  <c r="C25" i="3"/>
  <c r="F25" i="3"/>
  <c r="D25" i="3"/>
  <c r="G25" i="3"/>
  <c r="L24" i="3"/>
  <c r="O24" i="3" s="1"/>
  <c r="P24" i="3" s="1"/>
  <c r="S253" i="4"/>
  <c r="S261" i="4"/>
  <c r="S254" i="4"/>
  <c r="S262" i="4"/>
  <c r="S255" i="4"/>
  <c r="S263" i="4"/>
  <c r="S256" i="4"/>
  <c r="S264" i="4"/>
  <c r="S257" i="4"/>
  <c r="S258" i="4"/>
  <c r="S260" i="4"/>
  <c r="S259" i="4"/>
  <c r="N21" i="4" l="1"/>
  <c r="J21" i="4"/>
  <c r="M20" i="4"/>
  <c r="G21" i="4"/>
  <c r="D21" i="4"/>
  <c r="E21" i="4" s="1"/>
  <c r="R256" i="4"/>
  <c r="R263" i="4"/>
  <c r="R257" i="4"/>
  <c r="R264" i="4"/>
  <c r="R261" i="4"/>
  <c r="R253" i="4"/>
  <c r="R254" i="4"/>
  <c r="R258" i="4"/>
  <c r="R260" i="4"/>
  <c r="R259" i="4"/>
  <c r="R255" i="4"/>
  <c r="R262" i="4"/>
  <c r="K25" i="3"/>
  <c r="B26" i="3" s="1"/>
  <c r="N25" i="3"/>
  <c r="L25" i="3"/>
  <c r="O25" i="3" s="1"/>
  <c r="P25" i="3" s="1"/>
  <c r="S269" i="4"/>
  <c r="S270" i="4"/>
  <c r="S271" i="4"/>
  <c r="S272" i="4"/>
  <c r="S265" i="4"/>
  <c r="S273" i="4"/>
  <c r="S266" i="4"/>
  <c r="S274" i="4"/>
  <c r="S268" i="4"/>
  <c r="S276" i="4"/>
  <c r="S267" i="4"/>
  <c r="S275" i="4"/>
  <c r="F21" i="4" l="1"/>
  <c r="K21" i="4" s="1"/>
  <c r="L21" i="4" s="1"/>
  <c r="O21" i="4"/>
  <c r="P20" i="4"/>
  <c r="Q20" i="4" s="1"/>
  <c r="H21" i="4"/>
  <c r="R270" i="4"/>
  <c r="R273" i="4"/>
  <c r="R266" i="4"/>
  <c r="R271" i="4"/>
  <c r="R272" i="4"/>
  <c r="R276" i="4"/>
  <c r="R265" i="4"/>
  <c r="R268" i="4"/>
  <c r="R275" i="4"/>
  <c r="R269" i="4"/>
  <c r="R267" i="4"/>
  <c r="R274" i="4"/>
  <c r="S277" i="4"/>
  <c r="S285" i="4"/>
  <c r="S278" i="4"/>
  <c r="S286" i="4"/>
  <c r="S279" i="4"/>
  <c r="S287" i="4"/>
  <c r="S280" i="4"/>
  <c r="S288" i="4"/>
  <c r="S281" i="4"/>
  <c r="S282" i="4"/>
  <c r="S284" i="4"/>
  <c r="S283" i="4"/>
  <c r="E26" i="3"/>
  <c r="J26" i="3" s="1"/>
  <c r="K26" i="3" s="1"/>
  <c r="B27" i="3" s="1"/>
  <c r="C26" i="3"/>
  <c r="G26" i="3" s="1"/>
  <c r="L26" i="3" s="1"/>
  <c r="O26" i="3" s="1"/>
  <c r="P26" i="3" s="1"/>
  <c r="F26" i="3"/>
  <c r="D26" i="3"/>
  <c r="N26" i="3" s="1"/>
  <c r="M21" i="4" l="1"/>
  <c r="C22" i="4"/>
  <c r="R284" i="4"/>
  <c r="R280" i="4"/>
  <c r="R287" i="4"/>
  <c r="R283" i="4"/>
  <c r="R277" i="4"/>
  <c r="R278" i="4"/>
  <c r="R281" i="4"/>
  <c r="R285" i="4"/>
  <c r="R288" i="4"/>
  <c r="R286" i="4"/>
  <c r="R279" i="4"/>
  <c r="R282" i="4"/>
  <c r="C27" i="3"/>
  <c r="E27" i="3"/>
  <c r="J27" i="3" s="1"/>
  <c r="K27" i="3" s="1"/>
  <c r="B28" i="3" s="1"/>
  <c r="G27" i="3"/>
  <c r="F27" i="3"/>
  <c r="D27" i="3"/>
  <c r="N27" i="3" s="1"/>
  <c r="S293" i="4"/>
  <c r="S294" i="4"/>
  <c r="S295" i="4"/>
  <c r="S296" i="4"/>
  <c r="S289" i="4"/>
  <c r="S297" i="4"/>
  <c r="S290" i="4"/>
  <c r="S298" i="4"/>
  <c r="S292" i="4"/>
  <c r="S300" i="4"/>
  <c r="S291" i="4"/>
  <c r="S299" i="4"/>
  <c r="N22" i="4" l="1"/>
  <c r="J22" i="4"/>
  <c r="D22" i="4"/>
  <c r="H22" i="4" s="1"/>
  <c r="P21" i="4"/>
  <c r="Q21" i="4" s="1"/>
  <c r="G22" i="4"/>
  <c r="R300" i="4"/>
  <c r="R296" i="4"/>
  <c r="R292" i="4"/>
  <c r="R294" i="4"/>
  <c r="R298" i="4"/>
  <c r="R299" i="4"/>
  <c r="R295" i="4"/>
  <c r="R290" i="4"/>
  <c r="R293" i="4"/>
  <c r="R297" i="4"/>
  <c r="R289" i="4"/>
  <c r="R291" i="4"/>
  <c r="J28" i="3"/>
  <c r="C28" i="3"/>
  <c r="K28" i="3" s="1"/>
  <c r="B29" i="3" s="1"/>
  <c r="E28" i="3"/>
  <c r="G28" i="3"/>
  <c r="F28" i="3"/>
  <c r="D28" i="3"/>
  <c r="N28" i="3" s="1"/>
  <c r="L27" i="3"/>
  <c r="O27" i="3" s="1"/>
  <c r="P27" i="3" s="1"/>
  <c r="S301" i="4"/>
  <c r="S309" i="4"/>
  <c r="S302" i="4"/>
  <c r="S310" i="4"/>
  <c r="S303" i="4"/>
  <c r="S311" i="4"/>
  <c r="S304" i="4"/>
  <c r="S312" i="4"/>
  <c r="S305" i="4"/>
  <c r="S306" i="4"/>
  <c r="S308" i="4"/>
  <c r="S307" i="4"/>
  <c r="E22" i="4" l="1"/>
  <c r="R309" i="4"/>
  <c r="R301" i="4"/>
  <c r="R304" i="4"/>
  <c r="R311" i="4"/>
  <c r="R303" i="4"/>
  <c r="R312" i="4"/>
  <c r="R306" i="4"/>
  <c r="R310" i="4"/>
  <c r="R302" i="4"/>
  <c r="R307" i="4"/>
  <c r="R305" i="4"/>
  <c r="R308" i="4"/>
  <c r="C29" i="3"/>
  <c r="E29" i="3"/>
  <c r="J29" i="3" s="1"/>
  <c r="F29" i="3"/>
  <c r="D29" i="3"/>
  <c r="N29" i="3" s="1"/>
  <c r="L28" i="3"/>
  <c r="O28" i="3" s="1"/>
  <c r="P28" i="3" s="1"/>
  <c r="S317" i="4"/>
  <c r="S318" i="4"/>
  <c r="S319" i="4"/>
  <c r="S320" i="4"/>
  <c r="S313" i="4"/>
  <c r="S321" i="4"/>
  <c r="S314" i="4"/>
  <c r="S322" i="4"/>
  <c r="S316" i="4"/>
  <c r="S324" i="4"/>
  <c r="S323" i="4"/>
  <c r="S315" i="4"/>
  <c r="F22" i="4" l="1"/>
  <c r="K22" i="4" s="1"/>
  <c r="L22" i="4" s="1"/>
  <c r="C23" i="4" s="1"/>
  <c r="D23" i="4" s="1"/>
  <c r="E23" i="4" s="1"/>
  <c r="O22" i="4"/>
  <c r="R313" i="4"/>
  <c r="R321" i="4"/>
  <c r="R316" i="4"/>
  <c r="R318" i="4"/>
  <c r="R315" i="4"/>
  <c r="R320" i="4"/>
  <c r="R322" i="4"/>
  <c r="R319" i="4"/>
  <c r="R314" i="4"/>
  <c r="R324" i="4"/>
  <c r="R317" i="4"/>
  <c r="R323" i="4"/>
  <c r="K29" i="3"/>
  <c r="B30" i="3" s="1"/>
  <c r="G29" i="3"/>
  <c r="L29" i="3" s="1"/>
  <c r="O29" i="3" s="1"/>
  <c r="P29" i="3" s="1"/>
  <c r="S325" i="4"/>
  <c r="S333" i="4"/>
  <c r="S326" i="4"/>
  <c r="S334" i="4"/>
  <c r="S327" i="4"/>
  <c r="S335" i="4"/>
  <c r="S328" i="4"/>
  <c r="S336" i="4"/>
  <c r="S329" i="4"/>
  <c r="S330" i="4"/>
  <c r="S332" i="4"/>
  <c r="S331" i="4"/>
  <c r="M22" i="4" l="1"/>
  <c r="P22" i="4" s="1"/>
  <c r="Q22" i="4" s="1"/>
  <c r="F23" i="4"/>
  <c r="K23" i="4" s="1"/>
  <c r="L23" i="4" s="1"/>
  <c r="C24" i="4" s="1"/>
  <c r="D24" i="4" s="1"/>
  <c r="E24" i="4" s="1"/>
  <c r="G23" i="4"/>
  <c r="O23" i="4" s="1"/>
  <c r="N23" i="4"/>
  <c r="J23" i="4"/>
  <c r="H23" i="4"/>
  <c r="R334" i="4"/>
  <c r="R326" i="4"/>
  <c r="R332" i="4"/>
  <c r="R328" i="4"/>
  <c r="R327" i="4"/>
  <c r="R335" i="4"/>
  <c r="R336" i="4"/>
  <c r="R325" i="4"/>
  <c r="R333" i="4"/>
  <c r="R329" i="4"/>
  <c r="R330" i="4"/>
  <c r="R331" i="4"/>
  <c r="S341" i="4"/>
  <c r="S342" i="4"/>
  <c r="S343" i="4"/>
  <c r="S344" i="4"/>
  <c r="S337" i="4"/>
  <c r="S345" i="4"/>
  <c r="S338" i="4"/>
  <c r="S346" i="4"/>
  <c r="S340" i="4"/>
  <c r="S348" i="4"/>
  <c r="S339" i="4"/>
  <c r="S347" i="4"/>
  <c r="C30" i="3"/>
  <c r="E30" i="3"/>
  <c r="J30" i="3" s="1"/>
  <c r="F30" i="3"/>
  <c r="D30" i="3"/>
  <c r="N30" i="3" s="1"/>
  <c r="F24" i="4" l="1"/>
  <c r="K24" i="4" s="1"/>
  <c r="L24" i="4" s="1"/>
  <c r="C25" i="4" s="1"/>
  <c r="G24" i="4"/>
  <c r="O24" i="4" s="1"/>
  <c r="M23" i="4"/>
  <c r="P23" i="4" s="1"/>
  <c r="Q23" i="4" s="1"/>
  <c r="N24" i="4"/>
  <c r="J24" i="4"/>
  <c r="H24" i="4"/>
  <c r="R346" i="4"/>
  <c r="R338" i="4"/>
  <c r="R345" i="4"/>
  <c r="R340" i="4"/>
  <c r="R348" i="4"/>
  <c r="R347" i="4"/>
  <c r="R337" i="4"/>
  <c r="R344" i="4"/>
  <c r="R343" i="4"/>
  <c r="R342" i="4"/>
  <c r="R339" i="4"/>
  <c r="R341" i="4"/>
  <c r="K30" i="3"/>
  <c r="B31" i="3" s="1"/>
  <c r="S349" i="4"/>
  <c r="S357" i="4"/>
  <c r="S350" i="4"/>
  <c r="S358" i="4"/>
  <c r="S351" i="4"/>
  <c r="S359" i="4"/>
  <c r="S352" i="4"/>
  <c r="S360" i="4"/>
  <c r="S353" i="4"/>
  <c r="S354" i="4"/>
  <c r="S356" i="4"/>
  <c r="S355" i="4"/>
  <c r="G30" i="3"/>
  <c r="L30" i="3" s="1"/>
  <c r="O30" i="3" s="1"/>
  <c r="P30" i="3" s="1"/>
  <c r="N25" i="4" l="1"/>
  <c r="J25" i="4"/>
  <c r="M24" i="4"/>
  <c r="G25" i="4"/>
  <c r="D25" i="4"/>
  <c r="E25" i="4" s="1"/>
  <c r="R351" i="4"/>
  <c r="R358" i="4"/>
  <c r="R352" i="4"/>
  <c r="R350" i="4"/>
  <c r="R359" i="4"/>
  <c r="R360" i="4"/>
  <c r="R354" i="4"/>
  <c r="R355" i="4"/>
  <c r="R353" i="4"/>
  <c r="R357" i="4"/>
  <c r="R349" i="4"/>
  <c r="R356" i="4"/>
  <c r="S365" i="4"/>
  <c r="S366" i="4"/>
  <c r="S367" i="4"/>
  <c r="S368" i="4"/>
  <c r="S361" i="4"/>
  <c r="S369" i="4"/>
  <c r="S362" i="4"/>
  <c r="S370" i="4"/>
  <c r="S364" i="4"/>
  <c r="S372" i="4"/>
  <c r="T8" i="4" s="1"/>
  <c r="S363" i="4"/>
  <c r="S371" i="4"/>
  <c r="C31" i="3"/>
  <c r="G31" i="3" s="1"/>
  <c r="L31" i="3" s="1"/>
  <c r="O31" i="3" s="1"/>
  <c r="P31" i="3" s="1"/>
  <c r="E31" i="3"/>
  <c r="J31" i="3" s="1"/>
  <c r="F31" i="3"/>
  <c r="D31" i="3"/>
  <c r="N31" i="3" s="1"/>
  <c r="F25" i="4" l="1"/>
  <c r="K25" i="4" s="1"/>
  <c r="L25" i="4" s="1"/>
  <c r="C26" i="4" s="1"/>
  <c r="O25" i="4"/>
  <c r="P24" i="4"/>
  <c r="Q24" i="4" s="1"/>
  <c r="H25" i="4"/>
  <c r="R363" i="4"/>
  <c r="R365" i="4"/>
  <c r="R362" i="4"/>
  <c r="R372" i="4"/>
  <c r="M9" i="4" s="1"/>
  <c r="R370" i="4"/>
  <c r="R369" i="4"/>
  <c r="R366" i="4"/>
  <c r="R364" i="4"/>
  <c r="R367" i="4"/>
  <c r="R371" i="4"/>
  <c r="R361" i="4"/>
  <c r="R368" i="4"/>
  <c r="K31" i="3"/>
  <c r="B32" i="3" s="1"/>
  <c r="N26" i="4" l="1"/>
  <c r="J26" i="4"/>
  <c r="M25" i="4"/>
  <c r="D26" i="4"/>
  <c r="E26" i="4" s="1"/>
  <c r="G26" i="4"/>
  <c r="C32" i="3"/>
  <c r="E32" i="3"/>
  <c r="J32" i="3"/>
  <c r="K32" i="3" s="1"/>
  <c r="B33" i="3" s="1"/>
  <c r="G32" i="3"/>
  <c r="F32" i="3"/>
  <c r="D32" i="3"/>
  <c r="N32" i="3" s="1"/>
  <c r="F26" i="4" l="1"/>
  <c r="K26" i="4" s="1"/>
  <c r="L26" i="4" s="1"/>
  <c r="O26" i="4"/>
  <c r="P25" i="4"/>
  <c r="Q25" i="4" s="1"/>
  <c r="H26" i="4"/>
  <c r="E33" i="3"/>
  <c r="J33" i="3" s="1"/>
  <c r="C33" i="3"/>
  <c r="K33" i="3" s="1"/>
  <c r="B34" i="3" s="1"/>
  <c r="F33" i="3"/>
  <c r="D33" i="3"/>
  <c r="N33" i="3" s="1"/>
  <c r="L32" i="3"/>
  <c r="O32" i="3" s="1"/>
  <c r="P32" i="3" s="1"/>
  <c r="M26" i="4" l="1"/>
  <c r="C27" i="4"/>
  <c r="E34" i="3"/>
  <c r="J34" i="3" s="1"/>
  <c r="K34" i="3" s="1"/>
  <c r="B35" i="3" s="1"/>
  <c r="C34" i="3"/>
  <c r="G34" i="3"/>
  <c r="F34" i="3"/>
  <c r="D34" i="3"/>
  <c r="N34" i="3" s="1"/>
  <c r="G33" i="3"/>
  <c r="L33" i="3" s="1"/>
  <c r="O33" i="3" s="1"/>
  <c r="P33" i="3" s="1"/>
  <c r="N27" i="4" l="1"/>
  <c r="J27" i="4"/>
  <c r="D27" i="4"/>
  <c r="E27" i="4" s="1"/>
  <c r="P26" i="4"/>
  <c r="Q26" i="4" s="1"/>
  <c r="G27" i="4"/>
  <c r="C35" i="3"/>
  <c r="K35" i="3" s="1"/>
  <c r="B36" i="3" s="1"/>
  <c r="E35" i="3"/>
  <c r="J35" i="3"/>
  <c r="F35" i="3"/>
  <c r="D35" i="3"/>
  <c r="N35" i="3" s="1"/>
  <c r="L34" i="3"/>
  <c r="O34" i="3" s="1"/>
  <c r="P34" i="3" s="1"/>
  <c r="F27" i="4" l="1"/>
  <c r="K27" i="4" s="1"/>
  <c r="L27" i="4" s="1"/>
  <c r="C28" i="4" s="1"/>
  <c r="O27" i="4"/>
  <c r="H27" i="4"/>
  <c r="C36" i="3"/>
  <c r="K36" i="3" s="1"/>
  <c r="B37" i="3" s="1"/>
  <c r="E36" i="3"/>
  <c r="J36" i="3" s="1"/>
  <c r="F36" i="3"/>
  <c r="D36" i="3"/>
  <c r="N36" i="3" s="1"/>
  <c r="G35" i="3"/>
  <c r="L35" i="3" s="1"/>
  <c r="O35" i="3" s="1"/>
  <c r="P35" i="3" s="1"/>
  <c r="N28" i="4" l="1"/>
  <c r="J28" i="4"/>
  <c r="M27" i="4"/>
  <c r="P27" i="4" s="1"/>
  <c r="Q27" i="4" s="1"/>
  <c r="G28" i="4"/>
  <c r="D28" i="4"/>
  <c r="E28" i="4" s="1"/>
  <c r="C37" i="3"/>
  <c r="E37" i="3"/>
  <c r="J37" i="3" s="1"/>
  <c r="K37" i="3" s="1"/>
  <c r="B38" i="3" s="1"/>
  <c r="G37" i="3"/>
  <c r="F37" i="3"/>
  <c r="D37" i="3"/>
  <c r="N37" i="3" s="1"/>
  <c r="G36" i="3"/>
  <c r="L36" i="3" s="1"/>
  <c r="O36" i="3" s="1"/>
  <c r="P36" i="3" s="1"/>
  <c r="F28" i="4" l="1"/>
  <c r="K28" i="4" s="1"/>
  <c r="L28" i="4" s="1"/>
  <c r="O28" i="4"/>
  <c r="H28" i="4"/>
  <c r="C38" i="3"/>
  <c r="E38" i="3"/>
  <c r="J38" i="3" s="1"/>
  <c r="F38" i="3"/>
  <c r="D38" i="3"/>
  <c r="N38" i="3" s="1"/>
  <c r="L37" i="3"/>
  <c r="O37" i="3" s="1"/>
  <c r="P37" i="3" s="1"/>
  <c r="M28" i="4" l="1"/>
  <c r="C29" i="4"/>
  <c r="K38" i="3"/>
  <c r="B39" i="3" s="1"/>
  <c r="G38" i="3"/>
  <c r="L38" i="3" s="1"/>
  <c r="O38" i="3" s="1"/>
  <c r="P38" i="3" s="1"/>
  <c r="J29" i="4" l="1"/>
  <c r="N29" i="4"/>
  <c r="P28" i="4"/>
  <c r="Q28" i="4" s="1"/>
  <c r="G29" i="4"/>
  <c r="D29" i="4"/>
  <c r="E29" i="4" s="1"/>
  <c r="C39" i="3"/>
  <c r="K39" i="3" s="1"/>
  <c r="B40" i="3" s="1"/>
  <c r="E39" i="3"/>
  <c r="J39" i="3" s="1"/>
  <c r="G39" i="3"/>
  <c r="F39" i="3"/>
  <c r="D39" i="3"/>
  <c r="N39" i="3" s="1"/>
  <c r="F29" i="4" l="1"/>
  <c r="K29" i="4" s="1"/>
  <c r="L29" i="4" s="1"/>
  <c r="O29" i="4"/>
  <c r="H29" i="4"/>
  <c r="C40" i="3"/>
  <c r="K40" i="3" s="1"/>
  <c r="B41" i="3" s="1"/>
  <c r="E40" i="3"/>
  <c r="J40" i="3"/>
  <c r="G40" i="3"/>
  <c r="F40" i="3"/>
  <c r="D40" i="3"/>
  <c r="N40" i="3" s="1"/>
  <c r="L39" i="3"/>
  <c r="O39" i="3" s="1"/>
  <c r="P39" i="3" s="1"/>
  <c r="M29" i="4" l="1"/>
  <c r="C30" i="4"/>
  <c r="E41" i="3"/>
  <c r="J41" i="3" s="1"/>
  <c r="C41" i="3"/>
  <c r="F41" i="3"/>
  <c r="D41" i="3"/>
  <c r="N41" i="3" s="1"/>
  <c r="G41" i="3"/>
  <c r="L40" i="3"/>
  <c r="O40" i="3" s="1"/>
  <c r="P40" i="3" s="1"/>
  <c r="N30" i="4" l="1"/>
  <c r="J30" i="4"/>
  <c r="G30" i="4"/>
  <c r="P29" i="4"/>
  <c r="Q29" i="4" s="1"/>
  <c r="D30" i="4"/>
  <c r="E30" i="4" s="1"/>
  <c r="K41" i="3"/>
  <c r="B42" i="3" s="1"/>
  <c r="L41" i="3"/>
  <c r="O41" i="3" s="1"/>
  <c r="P41" i="3" s="1"/>
  <c r="F30" i="4" l="1"/>
  <c r="O30" i="4"/>
  <c r="H30" i="4"/>
  <c r="E42" i="3"/>
  <c r="J42" i="3" s="1"/>
  <c r="K42" i="3" s="1"/>
  <c r="B43" i="3" s="1"/>
  <c r="C42" i="3"/>
  <c r="G42" i="3"/>
  <c r="D42" i="3"/>
  <c r="N42" i="3" s="1"/>
  <c r="F42" i="3"/>
  <c r="K30" i="4" l="1"/>
  <c r="L30" i="4" s="1"/>
  <c r="C31" i="4" s="1"/>
  <c r="C43" i="3"/>
  <c r="E43" i="3"/>
  <c r="J43" i="3" s="1"/>
  <c r="K43" i="3" s="1"/>
  <c r="B44" i="3" s="1"/>
  <c r="G43" i="3"/>
  <c r="F43" i="3"/>
  <c r="D43" i="3"/>
  <c r="N43" i="3" s="1"/>
  <c r="L42" i="3"/>
  <c r="O42" i="3" s="1"/>
  <c r="P42" i="3" s="1"/>
  <c r="N31" i="4" l="1"/>
  <c r="J31" i="4"/>
  <c r="M30" i="4"/>
  <c r="P30" i="4" s="1"/>
  <c r="Q30" i="4" s="1"/>
  <c r="G31" i="4"/>
  <c r="D31" i="4"/>
  <c r="E31" i="4" s="1"/>
  <c r="C44" i="3"/>
  <c r="E44" i="3"/>
  <c r="J44" i="3" s="1"/>
  <c r="G44" i="3"/>
  <c r="D44" i="3"/>
  <c r="N44" i="3" s="1"/>
  <c r="F44" i="3"/>
  <c r="L43" i="3"/>
  <c r="O43" i="3" s="1"/>
  <c r="P43" i="3" s="1"/>
  <c r="F31" i="4" l="1"/>
  <c r="K31" i="4" s="1"/>
  <c r="L31" i="4" s="1"/>
  <c r="O31" i="4"/>
  <c r="H31" i="4"/>
  <c r="K44" i="3"/>
  <c r="B45" i="3" s="1"/>
  <c r="L44" i="3"/>
  <c r="O44" i="3" s="1"/>
  <c r="P44" i="3" s="1"/>
  <c r="M31" i="4" l="1"/>
  <c r="C32" i="4"/>
  <c r="C45" i="3"/>
  <c r="E45" i="3"/>
  <c r="J45" i="3" s="1"/>
  <c r="K45" i="3" s="1"/>
  <c r="B46" i="3" s="1"/>
  <c r="F45" i="3"/>
  <c r="D45" i="3"/>
  <c r="N45" i="3" s="1"/>
  <c r="G45" i="3"/>
  <c r="L45" i="3" s="1"/>
  <c r="O45" i="3" s="1"/>
  <c r="P45" i="3" s="1"/>
  <c r="J32" i="4" l="1"/>
  <c r="N32" i="4"/>
  <c r="P31" i="4"/>
  <c r="Q31" i="4" s="1"/>
  <c r="D32" i="4"/>
  <c r="E32" i="4" s="1"/>
  <c r="G32" i="4"/>
  <c r="C46" i="3"/>
  <c r="E46" i="3"/>
  <c r="J46" i="3" s="1"/>
  <c r="K46" i="3" s="1"/>
  <c r="B47" i="3" s="1"/>
  <c r="G46" i="3"/>
  <c r="D46" i="3"/>
  <c r="F46" i="3"/>
  <c r="F32" i="4" l="1"/>
  <c r="K32" i="4" s="1"/>
  <c r="L32" i="4" s="1"/>
  <c r="O32" i="4"/>
  <c r="H32" i="4"/>
  <c r="C47" i="3"/>
  <c r="E47" i="3"/>
  <c r="J47" i="3" s="1"/>
  <c r="G47" i="3"/>
  <c r="F47" i="3"/>
  <c r="D47" i="3"/>
  <c r="N47" i="3" s="1"/>
  <c r="N46" i="3"/>
  <c r="L46" i="3"/>
  <c r="M32" i="4" l="1"/>
  <c r="C33" i="4"/>
  <c r="K47" i="3"/>
  <c r="B48" i="3" s="1"/>
  <c r="L47" i="3"/>
  <c r="O47" i="3" s="1"/>
  <c r="P47" i="3" s="1"/>
  <c r="O46" i="3"/>
  <c r="P46" i="3" s="1"/>
  <c r="N33" i="4" l="1"/>
  <c r="J33" i="4"/>
  <c r="P32" i="4"/>
  <c r="Q32" i="4" s="1"/>
  <c r="D33" i="4"/>
  <c r="E33" i="4" s="1"/>
  <c r="G33" i="4"/>
  <c r="C48" i="3"/>
  <c r="E48" i="3"/>
  <c r="J48" i="3" s="1"/>
  <c r="K48" i="3" s="1"/>
  <c r="B49" i="3" s="1"/>
  <c r="G48" i="3"/>
  <c r="F48" i="3"/>
  <c r="D48" i="3"/>
  <c r="N48" i="3" s="1"/>
  <c r="F33" i="4" l="1"/>
  <c r="K33" i="4" s="1"/>
  <c r="L33" i="4" s="1"/>
  <c r="O33" i="4"/>
  <c r="H33" i="4"/>
  <c r="E49" i="3"/>
  <c r="J49" i="3" s="1"/>
  <c r="C49" i="3"/>
  <c r="D49" i="3"/>
  <c r="N49" i="3" s="1"/>
  <c r="F49" i="3"/>
  <c r="L48" i="3"/>
  <c r="O48" i="3" s="1"/>
  <c r="P48" i="3" s="1"/>
  <c r="M33" i="4" l="1"/>
  <c r="C34" i="4"/>
  <c r="K49" i="3"/>
  <c r="B50" i="3" s="1"/>
  <c r="G49" i="3"/>
  <c r="L49" i="3" s="1"/>
  <c r="O49" i="3" s="1"/>
  <c r="P49" i="3" s="1"/>
  <c r="N34" i="4" l="1"/>
  <c r="J34" i="4"/>
  <c r="P33" i="4"/>
  <c r="Q33" i="4" s="1"/>
  <c r="D34" i="4"/>
  <c r="E34" i="4" s="1"/>
  <c r="G34" i="4"/>
  <c r="E50" i="3"/>
  <c r="J50" i="3" s="1"/>
  <c r="C50" i="3"/>
  <c r="K50" i="3" s="1"/>
  <c r="B51" i="3" s="1"/>
  <c r="F50" i="3"/>
  <c r="D50" i="3"/>
  <c r="N50" i="3" s="1"/>
  <c r="G50" i="3"/>
  <c r="L50" i="3" s="1"/>
  <c r="O50" i="3" s="1"/>
  <c r="P50" i="3" s="1"/>
  <c r="F34" i="4" l="1"/>
  <c r="K34" i="4" s="1"/>
  <c r="L34" i="4" s="1"/>
  <c r="C35" i="4" s="1"/>
  <c r="O34" i="4"/>
  <c r="H34" i="4"/>
  <c r="C51" i="3"/>
  <c r="E51" i="3"/>
  <c r="J51" i="3" s="1"/>
  <c r="K51" i="3" s="1"/>
  <c r="B52" i="3" s="1"/>
  <c r="G51" i="3"/>
  <c r="D51" i="3"/>
  <c r="N51" i="3" s="1"/>
  <c r="F51" i="3"/>
  <c r="N35" i="4" l="1"/>
  <c r="J35" i="4"/>
  <c r="M34" i="4"/>
  <c r="D35" i="4"/>
  <c r="E35" i="4" s="1"/>
  <c r="G35" i="4"/>
  <c r="J52" i="3"/>
  <c r="K52" i="3" s="1"/>
  <c r="B53" i="3" s="1"/>
  <c r="C52" i="3"/>
  <c r="E52" i="3"/>
  <c r="G52" i="3"/>
  <c r="F52" i="3"/>
  <c r="D52" i="3"/>
  <c r="N52" i="3" s="1"/>
  <c r="L51" i="3"/>
  <c r="O51" i="3" s="1"/>
  <c r="P51" i="3" s="1"/>
  <c r="F35" i="4" l="1"/>
  <c r="K35" i="4" s="1"/>
  <c r="L35" i="4" s="1"/>
  <c r="O35" i="4"/>
  <c r="H35" i="4"/>
  <c r="P34" i="4"/>
  <c r="Q34" i="4" s="1"/>
  <c r="C53" i="3"/>
  <c r="E53" i="3"/>
  <c r="J53" i="3" s="1"/>
  <c r="K53" i="3" s="1"/>
  <c r="B54" i="3" s="1"/>
  <c r="G53" i="3"/>
  <c r="D53" i="3"/>
  <c r="N53" i="3" s="1"/>
  <c r="F53" i="3"/>
  <c r="L52" i="3"/>
  <c r="O52" i="3" s="1"/>
  <c r="P52" i="3" s="1"/>
  <c r="M35" i="4" l="1"/>
  <c r="C36" i="4"/>
  <c r="C54" i="3"/>
  <c r="E54" i="3"/>
  <c r="J54" i="3" s="1"/>
  <c r="F54" i="3"/>
  <c r="D54" i="3"/>
  <c r="N54" i="3" s="1"/>
  <c r="L53" i="3"/>
  <c r="O53" i="3" s="1"/>
  <c r="P53" i="3" s="1"/>
  <c r="N36" i="4" l="1"/>
  <c r="J36" i="4"/>
  <c r="P35" i="4"/>
  <c r="Q35" i="4" s="1"/>
  <c r="G36" i="4"/>
  <c r="D36" i="4"/>
  <c r="E36" i="4" s="1"/>
  <c r="K54" i="3"/>
  <c r="B55" i="3" s="1"/>
  <c r="G54" i="3"/>
  <c r="L54" i="3" s="1"/>
  <c r="O54" i="3" s="1"/>
  <c r="P54" i="3" s="1"/>
  <c r="F36" i="4" l="1"/>
  <c r="K36" i="4" s="1"/>
  <c r="L36" i="4" s="1"/>
  <c r="O36" i="4"/>
  <c r="H36" i="4"/>
  <c r="C55" i="3"/>
  <c r="E55" i="3"/>
  <c r="J55" i="3" s="1"/>
  <c r="G55" i="3"/>
  <c r="D55" i="3"/>
  <c r="N55" i="3" s="1"/>
  <c r="F55" i="3"/>
  <c r="M36" i="4" l="1"/>
  <c r="C37" i="4"/>
  <c r="K55" i="3"/>
  <c r="B56" i="3" s="1"/>
  <c r="L55" i="3"/>
  <c r="O55" i="3" s="1"/>
  <c r="P55" i="3" s="1"/>
  <c r="N37" i="4" l="1"/>
  <c r="J37" i="4"/>
  <c r="P36" i="4"/>
  <c r="Q36" i="4" s="1"/>
  <c r="G37" i="4"/>
  <c r="D37" i="4"/>
  <c r="E37" i="4" s="1"/>
  <c r="C56" i="3"/>
  <c r="K56" i="3" s="1"/>
  <c r="B57" i="3" s="1"/>
  <c r="E56" i="3"/>
  <c r="J56" i="3"/>
  <c r="F56" i="3"/>
  <c r="D56" i="3"/>
  <c r="N56" i="3" s="1"/>
  <c r="F37" i="4" l="1"/>
  <c r="K37" i="4" s="1"/>
  <c r="L37" i="4" s="1"/>
  <c r="C38" i="4" s="1"/>
  <c r="O37" i="4"/>
  <c r="H37" i="4"/>
  <c r="E57" i="3"/>
  <c r="J57" i="3" s="1"/>
  <c r="C57" i="3"/>
  <c r="F57" i="3"/>
  <c r="D57" i="3"/>
  <c r="N57" i="3" s="1"/>
  <c r="G56" i="3"/>
  <c r="L56" i="3" s="1"/>
  <c r="O56" i="3" s="1"/>
  <c r="P56" i="3" s="1"/>
  <c r="N38" i="4" l="1"/>
  <c r="J38" i="4"/>
  <c r="M37" i="4"/>
  <c r="G38" i="4"/>
  <c r="D38" i="4"/>
  <c r="E38" i="4" s="1"/>
  <c r="K57" i="3"/>
  <c r="B58" i="3" s="1"/>
  <c r="G57" i="3"/>
  <c r="L57" i="3" s="1"/>
  <c r="O57" i="3" s="1"/>
  <c r="P57" i="3" s="1"/>
  <c r="F38" i="4" l="1"/>
  <c r="K38" i="4" s="1"/>
  <c r="L38" i="4" s="1"/>
  <c r="O38" i="4"/>
  <c r="P37" i="4"/>
  <c r="Q37" i="4" s="1"/>
  <c r="H38" i="4"/>
  <c r="E58" i="3"/>
  <c r="J58" i="3"/>
  <c r="C58" i="3"/>
  <c r="K58" i="3" s="1"/>
  <c r="B59" i="3" s="1"/>
  <c r="F58" i="3"/>
  <c r="D58" i="3"/>
  <c r="N58" i="3" s="1"/>
  <c r="G58" i="3"/>
  <c r="L58" i="3" s="1"/>
  <c r="O58" i="3" s="1"/>
  <c r="P58" i="3" s="1"/>
  <c r="M38" i="4" l="1"/>
  <c r="C39" i="4"/>
  <c r="C59" i="3"/>
  <c r="E59" i="3"/>
  <c r="J59" i="3" s="1"/>
  <c r="K59" i="3" s="1"/>
  <c r="B60" i="3" s="1"/>
  <c r="G59" i="3"/>
  <c r="D59" i="3"/>
  <c r="N59" i="3" s="1"/>
  <c r="F59" i="3"/>
  <c r="N39" i="4" l="1"/>
  <c r="J39" i="4"/>
  <c r="P38" i="4"/>
  <c r="Q38" i="4" s="1"/>
  <c r="G39" i="4"/>
  <c r="D39" i="4"/>
  <c r="E39" i="4" s="1"/>
  <c r="J60" i="3"/>
  <c r="C60" i="3"/>
  <c r="K60" i="3" s="1"/>
  <c r="B61" i="3" s="1"/>
  <c r="E60" i="3"/>
  <c r="G60" i="3"/>
  <c r="D60" i="3"/>
  <c r="F60" i="3"/>
  <c r="L59" i="3"/>
  <c r="O59" i="3" s="1"/>
  <c r="P59" i="3" s="1"/>
  <c r="F39" i="4" l="1"/>
  <c r="K39" i="4" s="1"/>
  <c r="L39" i="4" s="1"/>
  <c r="O39" i="4"/>
  <c r="H39" i="4"/>
  <c r="C61" i="3"/>
  <c r="K61" i="3" s="1"/>
  <c r="B62" i="3" s="1"/>
  <c r="J61" i="3"/>
  <c r="E61" i="3"/>
  <c r="F61" i="3"/>
  <c r="D61" i="3"/>
  <c r="N61" i="3" s="1"/>
  <c r="N60" i="3"/>
  <c r="L60" i="3"/>
  <c r="O60" i="3" s="1"/>
  <c r="P60" i="3" s="1"/>
  <c r="M39" i="4" l="1"/>
  <c r="C40" i="4"/>
  <c r="C62" i="3"/>
  <c r="E62" i="3"/>
  <c r="J62" i="3" s="1"/>
  <c r="K62" i="3" s="1"/>
  <c r="B63" i="3" s="1"/>
  <c r="G62" i="3"/>
  <c r="F62" i="3"/>
  <c r="D62" i="3"/>
  <c r="N62" i="3" s="1"/>
  <c r="G61" i="3"/>
  <c r="L61" i="3" s="1"/>
  <c r="O61" i="3" s="1"/>
  <c r="P61" i="3" s="1"/>
  <c r="J40" i="4" l="1"/>
  <c r="N40" i="4"/>
  <c r="P39" i="4"/>
  <c r="Q39" i="4" s="1"/>
  <c r="G40" i="4"/>
  <c r="D40" i="4"/>
  <c r="E40" i="4" s="1"/>
  <c r="C63" i="3"/>
  <c r="E63" i="3"/>
  <c r="J63" i="3" s="1"/>
  <c r="K63" i="3" s="1"/>
  <c r="B64" i="3" s="1"/>
  <c r="F63" i="3"/>
  <c r="D63" i="3"/>
  <c r="N63" i="3" s="1"/>
  <c r="G63" i="3"/>
  <c r="L63" i="3" s="1"/>
  <c r="O63" i="3" s="1"/>
  <c r="P63" i="3" s="1"/>
  <c r="L62" i="3"/>
  <c r="O62" i="3" s="1"/>
  <c r="P62" i="3" s="1"/>
  <c r="F40" i="4" l="1"/>
  <c r="K40" i="4" s="1"/>
  <c r="L40" i="4" s="1"/>
  <c r="O40" i="4"/>
  <c r="H40" i="4"/>
  <c r="C64" i="3"/>
  <c r="E64" i="3"/>
  <c r="J64" i="3" s="1"/>
  <c r="D64" i="3"/>
  <c r="N64" i="3" s="1"/>
  <c r="F64" i="3"/>
  <c r="M40" i="4" l="1"/>
  <c r="C41" i="4"/>
  <c r="K64" i="3"/>
  <c r="B65" i="3" s="1"/>
  <c r="G64" i="3"/>
  <c r="L64" i="3" s="1"/>
  <c r="O64" i="3" s="1"/>
  <c r="P64" i="3" s="1"/>
  <c r="N41" i="4" l="1"/>
  <c r="J41" i="4"/>
  <c r="P40" i="4"/>
  <c r="Q40" i="4" s="1"/>
  <c r="G41" i="4"/>
  <c r="D41" i="4"/>
  <c r="E41" i="4" s="1"/>
  <c r="E65" i="3"/>
  <c r="J65" i="3" s="1"/>
  <c r="C65" i="3"/>
  <c r="F65" i="3"/>
  <c r="D65" i="3"/>
  <c r="N65" i="3" s="1"/>
  <c r="F41" i="4" l="1"/>
  <c r="K41" i="4" s="1"/>
  <c r="L41" i="4" s="1"/>
  <c r="C42" i="4" s="1"/>
  <c r="O41" i="4"/>
  <c r="H41" i="4"/>
  <c r="K65" i="3"/>
  <c r="B66" i="3" s="1"/>
  <c r="G65" i="3"/>
  <c r="L65" i="3" s="1"/>
  <c r="O65" i="3" s="1"/>
  <c r="P65" i="3" s="1"/>
  <c r="N42" i="4" l="1"/>
  <c r="J42" i="4"/>
  <c r="M41" i="4"/>
  <c r="G42" i="4"/>
  <c r="D42" i="4"/>
  <c r="E42" i="4" s="1"/>
  <c r="E66" i="3"/>
  <c r="J66" i="3" s="1"/>
  <c r="K66" i="3" s="1"/>
  <c r="B67" i="3" s="1"/>
  <c r="C66" i="3"/>
  <c r="G66" i="3"/>
  <c r="F66" i="3"/>
  <c r="D66" i="3"/>
  <c r="N66" i="3" s="1"/>
  <c r="F42" i="4" l="1"/>
  <c r="K42" i="4" s="1"/>
  <c r="L42" i="4" s="1"/>
  <c r="O42" i="4"/>
  <c r="P41" i="4"/>
  <c r="Q41" i="4" s="1"/>
  <c r="H42" i="4"/>
  <c r="C67" i="3"/>
  <c r="E67" i="3"/>
  <c r="J67" i="3" s="1"/>
  <c r="K67" i="3" s="1"/>
  <c r="B68" i="3" s="1"/>
  <c r="F67" i="3"/>
  <c r="D67" i="3"/>
  <c r="N67" i="3" s="1"/>
  <c r="G67" i="3"/>
  <c r="L66" i="3"/>
  <c r="O66" i="3" s="1"/>
  <c r="P66" i="3" s="1"/>
  <c r="M42" i="4" l="1"/>
  <c r="C43" i="4"/>
  <c r="C68" i="3"/>
  <c r="E68" i="3"/>
  <c r="J68" i="3" s="1"/>
  <c r="G68" i="3"/>
  <c r="D68" i="3"/>
  <c r="N68" i="3" s="1"/>
  <c r="F68" i="3"/>
  <c r="L67" i="3"/>
  <c r="O67" i="3" s="1"/>
  <c r="P67" i="3" s="1"/>
  <c r="N43" i="4" l="1"/>
  <c r="J43" i="4"/>
  <c r="P42" i="4"/>
  <c r="Q42" i="4" s="1"/>
  <c r="D43" i="4"/>
  <c r="E43" i="4" s="1"/>
  <c r="G43" i="4"/>
  <c r="K68" i="3"/>
  <c r="B69" i="3" s="1"/>
  <c r="L68" i="3"/>
  <c r="O68" i="3" s="1"/>
  <c r="P68" i="3" s="1"/>
  <c r="F43" i="4" l="1"/>
  <c r="K43" i="4" s="1"/>
  <c r="L43" i="4" s="1"/>
  <c r="O43" i="4"/>
  <c r="H43" i="4"/>
  <c r="C69" i="3"/>
  <c r="E69" i="3"/>
  <c r="J69" i="3" s="1"/>
  <c r="K69" i="3" s="1"/>
  <c r="B70" i="3" s="1"/>
  <c r="G69" i="3"/>
  <c r="F69" i="3"/>
  <c r="D69" i="3"/>
  <c r="N69" i="3" s="1"/>
  <c r="M43" i="4" l="1"/>
  <c r="C44" i="4"/>
  <c r="C70" i="3"/>
  <c r="E70" i="3"/>
  <c r="J70" i="3" s="1"/>
  <c r="G70" i="3"/>
  <c r="F70" i="3"/>
  <c r="D70" i="3"/>
  <c r="N70" i="3" s="1"/>
  <c r="L69" i="3"/>
  <c r="O69" i="3" s="1"/>
  <c r="P69" i="3" s="1"/>
  <c r="N44" i="4" l="1"/>
  <c r="J44" i="4"/>
  <c r="P43" i="4"/>
  <c r="Q43" i="4" s="1"/>
  <c r="D44" i="4"/>
  <c r="E44" i="4" s="1"/>
  <c r="G44" i="4"/>
  <c r="K70" i="3"/>
  <c r="B71" i="3" s="1"/>
  <c r="L70" i="3"/>
  <c r="O70" i="3" s="1"/>
  <c r="P70" i="3" s="1"/>
  <c r="F44" i="4" l="1"/>
  <c r="K44" i="4" s="1"/>
  <c r="L44" i="4" s="1"/>
  <c r="C45" i="4" s="1"/>
  <c r="O44" i="4"/>
  <c r="H44" i="4"/>
  <c r="C71" i="3"/>
  <c r="E71" i="3"/>
  <c r="J71" i="3" s="1"/>
  <c r="K71" i="3" s="1"/>
  <c r="B72" i="3" s="1"/>
  <c r="F71" i="3"/>
  <c r="D71" i="3"/>
  <c r="N71" i="3" s="1"/>
  <c r="G71" i="3"/>
  <c r="L71" i="3" s="1"/>
  <c r="O71" i="3" s="1"/>
  <c r="P71" i="3" s="1"/>
  <c r="J45" i="4" l="1"/>
  <c r="N45" i="4"/>
  <c r="M44" i="4"/>
  <c r="D45" i="4"/>
  <c r="E45" i="4" s="1"/>
  <c r="G45" i="4"/>
  <c r="C72" i="3"/>
  <c r="E72" i="3"/>
  <c r="J72" i="3"/>
  <c r="K72" i="3" s="1"/>
  <c r="B73" i="3" s="1"/>
  <c r="F72" i="3"/>
  <c r="D72" i="3"/>
  <c r="N72" i="3" s="1"/>
  <c r="G72" i="3"/>
  <c r="F45" i="4" l="1"/>
  <c r="K45" i="4" s="1"/>
  <c r="L45" i="4" s="1"/>
  <c r="C46" i="4" s="1"/>
  <c r="O45" i="4"/>
  <c r="P44" i="4"/>
  <c r="Q44" i="4" s="1"/>
  <c r="H45" i="4"/>
  <c r="E73" i="3"/>
  <c r="J73" i="3" s="1"/>
  <c r="C73" i="3"/>
  <c r="G73" i="3"/>
  <c r="L73" i="3" s="1"/>
  <c r="O73" i="3" s="1"/>
  <c r="P73" i="3" s="1"/>
  <c r="D73" i="3"/>
  <c r="N73" i="3" s="1"/>
  <c r="F73" i="3"/>
  <c r="L72" i="3"/>
  <c r="O72" i="3" s="1"/>
  <c r="P72" i="3" s="1"/>
  <c r="N46" i="4" l="1"/>
  <c r="J46" i="4"/>
  <c r="M45" i="4"/>
  <c r="D46" i="4"/>
  <c r="E46" i="4" s="1"/>
  <c r="G46" i="4"/>
  <c r="K73" i="3"/>
  <c r="B74" i="3" s="1"/>
  <c r="F46" i="4" l="1"/>
  <c r="K46" i="4" s="1"/>
  <c r="L46" i="4" s="1"/>
  <c r="C47" i="4" s="1"/>
  <c r="O46" i="4"/>
  <c r="H46" i="4"/>
  <c r="P45" i="4"/>
  <c r="Q45" i="4" s="1"/>
  <c r="E74" i="3"/>
  <c r="J74" i="3"/>
  <c r="C74" i="3"/>
  <c r="K74" i="3"/>
  <c r="B75" i="3" s="1"/>
  <c r="G74" i="3"/>
  <c r="F74" i="3"/>
  <c r="D74" i="3"/>
  <c r="N74" i="3" s="1"/>
  <c r="N47" i="4" l="1"/>
  <c r="J47" i="4"/>
  <c r="M46" i="4"/>
  <c r="D47" i="4"/>
  <c r="E47" i="4" s="1"/>
  <c r="G47" i="4"/>
  <c r="L74" i="3"/>
  <c r="O74" i="3" s="1"/>
  <c r="P74" i="3" s="1"/>
  <c r="C75" i="3"/>
  <c r="E75" i="3"/>
  <c r="J75" i="3" s="1"/>
  <c r="K75" i="3" s="1"/>
  <c r="B76" i="3" s="1"/>
  <c r="G75" i="3"/>
  <c r="L75" i="3" s="1"/>
  <c r="F75" i="3"/>
  <c r="D75" i="3"/>
  <c r="F47" i="4" l="1"/>
  <c r="K47" i="4" s="1"/>
  <c r="L47" i="4" s="1"/>
  <c r="C48" i="4" s="1"/>
  <c r="O47" i="4"/>
  <c r="H47" i="4"/>
  <c r="P46" i="4"/>
  <c r="Q46" i="4" s="1"/>
  <c r="C76" i="3"/>
  <c r="E76" i="3"/>
  <c r="J76" i="3" s="1"/>
  <c r="F76" i="3"/>
  <c r="D76" i="3"/>
  <c r="N76" i="3" s="1"/>
  <c r="G76" i="3"/>
  <c r="L76" i="3" s="1"/>
  <c r="O76" i="3" s="1"/>
  <c r="P76" i="3" s="1"/>
  <c r="O75" i="3"/>
  <c r="P75" i="3" s="1"/>
  <c r="N75" i="3"/>
  <c r="J48" i="4" l="1"/>
  <c r="N48" i="4"/>
  <c r="M47" i="4"/>
  <c r="G48" i="4"/>
  <c r="D48" i="4"/>
  <c r="E48" i="4" s="1"/>
  <c r="K76" i="3"/>
  <c r="B77" i="3" s="1"/>
  <c r="F48" i="4" l="1"/>
  <c r="K48" i="4" s="1"/>
  <c r="L48" i="4" s="1"/>
  <c r="C49" i="4" s="1"/>
  <c r="O48" i="4"/>
  <c r="P47" i="4"/>
  <c r="Q47" i="4" s="1"/>
  <c r="H48" i="4"/>
  <c r="C77" i="3"/>
  <c r="K77" i="3" s="1"/>
  <c r="B78" i="3" s="1"/>
  <c r="J77" i="3"/>
  <c r="E77" i="3"/>
  <c r="D77" i="3"/>
  <c r="N77" i="3" s="1"/>
  <c r="F77" i="3"/>
  <c r="N49" i="4" l="1"/>
  <c r="J49" i="4"/>
  <c r="M48" i="4"/>
  <c r="D49" i="4"/>
  <c r="E49" i="4" s="1"/>
  <c r="G49" i="4"/>
  <c r="C78" i="3"/>
  <c r="E78" i="3"/>
  <c r="J78" i="3" s="1"/>
  <c r="K78" i="3" s="1"/>
  <c r="B79" i="3" s="1"/>
  <c r="G78" i="3"/>
  <c r="F78" i="3"/>
  <c r="D78" i="3"/>
  <c r="N78" i="3" s="1"/>
  <c r="G77" i="3"/>
  <c r="L77" i="3" s="1"/>
  <c r="O77" i="3" s="1"/>
  <c r="P77" i="3" s="1"/>
  <c r="F49" i="4" l="1"/>
  <c r="K49" i="4" s="1"/>
  <c r="L49" i="4" s="1"/>
  <c r="C50" i="4" s="1"/>
  <c r="O49" i="4"/>
  <c r="P48" i="4"/>
  <c r="Q48" i="4" s="1"/>
  <c r="H49" i="4"/>
  <c r="C79" i="3"/>
  <c r="K79" i="3" s="1"/>
  <c r="B80" i="3" s="1"/>
  <c r="E79" i="3"/>
  <c r="J79" i="3"/>
  <c r="G79" i="3"/>
  <c r="F79" i="3"/>
  <c r="D79" i="3"/>
  <c r="N79" i="3" s="1"/>
  <c r="L78" i="3"/>
  <c r="O78" i="3" s="1"/>
  <c r="P78" i="3" s="1"/>
  <c r="N50" i="4" l="1"/>
  <c r="J50" i="4"/>
  <c r="M49" i="4"/>
  <c r="D50" i="4"/>
  <c r="E50" i="4" s="1"/>
  <c r="G50" i="4"/>
  <c r="C80" i="3"/>
  <c r="E80" i="3"/>
  <c r="J80" i="3" s="1"/>
  <c r="F80" i="3"/>
  <c r="D80" i="3"/>
  <c r="N80" i="3" s="1"/>
  <c r="L79" i="3"/>
  <c r="O79" i="3" s="1"/>
  <c r="P79" i="3" s="1"/>
  <c r="F50" i="4" l="1"/>
  <c r="K50" i="4" s="1"/>
  <c r="L50" i="4" s="1"/>
  <c r="O50" i="4"/>
  <c r="P49" i="4"/>
  <c r="Q49" i="4" s="1"/>
  <c r="H50" i="4"/>
  <c r="K80" i="3"/>
  <c r="B81" i="3" s="1"/>
  <c r="G80" i="3"/>
  <c r="L80" i="3" s="1"/>
  <c r="O80" i="3" s="1"/>
  <c r="P80" i="3" s="1"/>
  <c r="M50" i="4" l="1"/>
  <c r="C51" i="4"/>
  <c r="E81" i="3"/>
  <c r="J81" i="3" s="1"/>
  <c r="C81" i="3"/>
  <c r="K81" i="3" s="1"/>
  <c r="B82" i="3" s="1"/>
  <c r="G81" i="3"/>
  <c r="D81" i="3"/>
  <c r="F81" i="3"/>
  <c r="N51" i="4" l="1"/>
  <c r="J51" i="4"/>
  <c r="P50" i="4"/>
  <c r="Q50" i="4" s="1"/>
  <c r="D51" i="4"/>
  <c r="E51" i="4" s="1"/>
  <c r="G51" i="4"/>
  <c r="E82" i="3"/>
  <c r="J82" i="3" s="1"/>
  <c r="K82" i="3" s="1"/>
  <c r="B83" i="3" s="1"/>
  <c r="C82" i="3"/>
  <c r="G82" i="3"/>
  <c r="F82" i="3"/>
  <c r="D82" i="3"/>
  <c r="N82" i="3" s="1"/>
  <c r="L81" i="3"/>
  <c r="O81" i="3" s="1"/>
  <c r="P81" i="3" s="1"/>
  <c r="N81" i="3"/>
  <c r="F51" i="4" l="1"/>
  <c r="O51" i="4"/>
  <c r="H51" i="4"/>
  <c r="K51" i="4"/>
  <c r="L51" i="4" s="1"/>
  <c r="C52" i="4" s="1"/>
  <c r="C83" i="3"/>
  <c r="E83" i="3"/>
  <c r="J83" i="3" s="1"/>
  <c r="F83" i="3"/>
  <c r="D83" i="3"/>
  <c r="L82" i="3"/>
  <c r="O82" i="3" s="1"/>
  <c r="P82" i="3" s="1"/>
  <c r="N52" i="4" l="1"/>
  <c r="J52" i="4"/>
  <c r="M51" i="4"/>
  <c r="G52" i="4"/>
  <c r="D52" i="4"/>
  <c r="E52" i="4" s="1"/>
  <c r="K83" i="3"/>
  <c r="B84" i="3" s="1"/>
  <c r="N83" i="3"/>
  <c r="G83" i="3"/>
  <c r="L83" i="3" s="1"/>
  <c r="O83" i="3" s="1"/>
  <c r="P83" i="3" s="1"/>
  <c r="F52" i="4" l="1"/>
  <c r="K52" i="4" s="1"/>
  <c r="L52" i="4" s="1"/>
  <c r="O52" i="4"/>
  <c r="P51" i="4"/>
  <c r="Q51" i="4" s="1"/>
  <c r="H52" i="4"/>
  <c r="C84" i="3"/>
  <c r="K84" i="3" s="1"/>
  <c r="B85" i="3" s="1"/>
  <c r="E84" i="3"/>
  <c r="J84" i="3" s="1"/>
  <c r="G84" i="3"/>
  <c r="L84" i="3" s="1"/>
  <c r="O84" i="3" s="1"/>
  <c r="P84" i="3" s="1"/>
  <c r="F84" i="3"/>
  <c r="D84" i="3"/>
  <c r="N84" i="3" s="1"/>
  <c r="M52" i="4" l="1"/>
  <c r="C53" i="4"/>
  <c r="C85" i="3"/>
  <c r="K85" i="3" s="1"/>
  <c r="B86" i="3" s="1"/>
  <c r="E85" i="3"/>
  <c r="J85" i="3" s="1"/>
  <c r="F85" i="3"/>
  <c r="D85" i="3"/>
  <c r="N85" i="3" s="1"/>
  <c r="N53" i="4" l="1"/>
  <c r="J53" i="4"/>
  <c r="P52" i="4"/>
  <c r="Q52" i="4" s="1"/>
  <c r="D53" i="4"/>
  <c r="E53" i="4" s="1"/>
  <c r="G53" i="4"/>
  <c r="C86" i="3"/>
  <c r="E86" i="3"/>
  <c r="J86" i="3" s="1"/>
  <c r="K86" i="3" s="1"/>
  <c r="B87" i="3" s="1"/>
  <c r="G86" i="3"/>
  <c r="L86" i="3" s="1"/>
  <c r="O86" i="3" s="1"/>
  <c r="P86" i="3" s="1"/>
  <c r="D86" i="3"/>
  <c r="N86" i="3" s="1"/>
  <c r="F86" i="3"/>
  <c r="G85" i="3"/>
  <c r="L85" i="3" s="1"/>
  <c r="O85" i="3" s="1"/>
  <c r="P85" i="3" s="1"/>
  <c r="F53" i="4" l="1"/>
  <c r="K53" i="4" s="1"/>
  <c r="L53" i="4" s="1"/>
  <c r="C54" i="4" s="1"/>
  <c r="O53" i="4"/>
  <c r="H53" i="4"/>
  <c r="C87" i="3"/>
  <c r="E87" i="3"/>
  <c r="J87" i="3" s="1"/>
  <c r="K87" i="3" s="1"/>
  <c r="B88" i="3" s="1"/>
  <c r="G87" i="3"/>
  <c r="F87" i="3"/>
  <c r="D87" i="3"/>
  <c r="N87" i="3" s="1"/>
  <c r="N54" i="4" l="1"/>
  <c r="J54" i="4"/>
  <c r="M53" i="4"/>
  <c r="G54" i="4"/>
  <c r="D54" i="4"/>
  <c r="E54" i="4" s="1"/>
  <c r="C88" i="3"/>
  <c r="E88" i="3"/>
  <c r="J88" i="3"/>
  <c r="K88" i="3" s="1"/>
  <c r="B89" i="3" s="1"/>
  <c r="G88" i="3"/>
  <c r="F88" i="3"/>
  <c r="D88" i="3"/>
  <c r="N88" i="3" s="1"/>
  <c r="L87" i="3"/>
  <c r="O87" i="3" s="1"/>
  <c r="P87" i="3" s="1"/>
  <c r="F54" i="4" l="1"/>
  <c r="K54" i="4" s="1"/>
  <c r="L54" i="4" s="1"/>
  <c r="O54" i="4"/>
  <c r="P53" i="4"/>
  <c r="Q53" i="4" s="1"/>
  <c r="H54" i="4"/>
  <c r="E89" i="3"/>
  <c r="J89" i="3" s="1"/>
  <c r="C89" i="3"/>
  <c r="K89" i="3" s="1"/>
  <c r="B90" i="3" s="1"/>
  <c r="F89" i="3"/>
  <c r="D89" i="3"/>
  <c r="N89" i="3" s="1"/>
  <c r="G89" i="3"/>
  <c r="L88" i="3"/>
  <c r="O88" i="3" s="1"/>
  <c r="P88" i="3" s="1"/>
  <c r="M54" i="4" l="1"/>
  <c r="C55" i="4"/>
  <c r="E90" i="3"/>
  <c r="J90" i="3" s="1"/>
  <c r="K90" i="3" s="1"/>
  <c r="B91" i="3" s="1"/>
  <c r="C90" i="3"/>
  <c r="G90" i="3"/>
  <c r="L90" i="3" s="1"/>
  <c r="O90" i="3" s="1"/>
  <c r="P90" i="3" s="1"/>
  <c r="D90" i="3"/>
  <c r="N90" i="3" s="1"/>
  <c r="F90" i="3"/>
  <c r="L89" i="3"/>
  <c r="O89" i="3" s="1"/>
  <c r="P89" i="3" s="1"/>
  <c r="N55" i="4" l="1"/>
  <c r="J55" i="4"/>
  <c r="P54" i="4"/>
  <c r="Q54" i="4" s="1"/>
  <c r="D55" i="4"/>
  <c r="E55" i="4" s="1"/>
  <c r="G55" i="4"/>
  <c r="C91" i="3"/>
  <c r="E91" i="3"/>
  <c r="J91" i="3" s="1"/>
  <c r="K91" i="3" s="1"/>
  <c r="B92" i="3" s="1"/>
  <c r="G91" i="3"/>
  <c r="F91" i="3"/>
  <c r="D91" i="3"/>
  <c r="N91" i="3" s="1"/>
  <c r="F55" i="4" l="1"/>
  <c r="K55" i="4" s="1"/>
  <c r="L55" i="4" s="1"/>
  <c r="C56" i="4" s="1"/>
  <c r="O55" i="4"/>
  <c r="H55" i="4"/>
  <c r="J92" i="3"/>
  <c r="K92" i="3" s="1"/>
  <c r="B93" i="3" s="1"/>
  <c r="C92" i="3"/>
  <c r="E92" i="3"/>
  <c r="G92" i="3"/>
  <c r="F92" i="3"/>
  <c r="D92" i="3"/>
  <c r="N92" i="3" s="1"/>
  <c r="L91" i="3"/>
  <c r="O91" i="3" s="1"/>
  <c r="P91" i="3" s="1"/>
  <c r="N56" i="4" l="1"/>
  <c r="J56" i="4"/>
  <c r="M55" i="4"/>
  <c r="G56" i="4"/>
  <c r="D56" i="4"/>
  <c r="E56" i="4" s="1"/>
  <c r="C93" i="3"/>
  <c r="E93" i="3"/>
  <c r="J93" i="3" s="1"/>
  <c r="F93" i="3"/>
  <c r="D93" i="3"/>
  <c r="L92" i="3"/>
  <c r="O92" i="3" s="1"/>
  <c r="P92" i="3" s="1"/>
  <c r="F56" i="4" l="1"/>
  <c r="O56" i="4"/>
  <c r="P55" i="4"/>
  <c r="Q55" i="4" s="1"/>
  <c r="H56" i="4"/>
  <c r="K56" i="4"/>
  <c r="L56" i="4" s="1"/>
  <c r="C57" i="4" s="1"/>
  <c r="K93" i="3"/>
  <c r="B94" i="3" s="1"/>
  <c r="G93" i="3"/>
  <c r="L93" i="3" s="1"/>
  <c r="O93" i="3" s="1"/>
  <c r="P93" i="3" s="1"/>
  <c r="N93" i="3"/>
  <c r="J57" i="4" l="1"/>
  <c r="N57" i="4"/>
  <c r="M56" i="4"/>
  <c r="D57" i="4"/>
  <c r="E57" i="4" s="1"/>
  <c r="G57" i="4"/>
  <c r="C94" i="3"/>
  <c r="E94" i="3"/>
  <c r="J94" i="3"/>
  <c r="K94" i="3"/>
  <c r="B95" i="3" s="1"/>
  <c r="G94" i="3"/>
  <c r="D94" i="3"/>
  <c r="N94" i="3" s="1"/>
  <c r="F94" i="3"/>
  <c r="F57" i="4" l="1"/>
  <c r="O57" i="4"/>
  <c r="K57" i="4"/>
  <c r="L57" i="4" s="1"/>
  <c r="P56" i="4"/>
  <c r="Q56" i="4" s="1"/>
  <c r="H57" i="4"/>
  <c r="L94" i="3"/>
  <c r="O94" i="3" s="1"/>
  <c r="P94" i="3" s="1"/>
  <c r="C95" i="3"/>
  <c r="G95" i="3" s="1"/>
  <c r="L95" i="3" s="1"/>
  <c r="O95" i="3" s="1"/>
  <c r="P95" i="3" s="1"/>
  <c r="E95" i="3"/>
  <c r="J95" i="3" s="1"/>
  <c r="F95" i="3"/>
  <c r="D95" i="3"/>
  <c r="N95" i="3" s="1"/>
  <c r="M57" i="4" l="1"/>
  <c r="C58" i="4"/>
  <c r="K95" i="3"/>
  <c r="B96" i="3" s="1"/>
  <c r="N58" i="4" l="1"/>
  <c r="J58" i="4"/>
  <c r="P57" i="4"/>
  <c r="Q57" i="4" s="1"/>
  <c r="G58" i="4"/>
  <c r="D58" i="4"/>
  <c r="E58" i="4" s="1"/>
  <c r="C96" i="3"/>
  <c r="K96" i="3" s="1"/>
  <c r="B97" i="3" s="1"/>
  <c r="E96" i="3"/>
  <c r="J96" i="3" s="1"/>
  <c r="G96" i="3"/>
  <c r="L96" i="3" s="1"/>
  <c r="O96" i="3" s="1"/>
  <c r="P96" i="3" s="1"/>
  <c r="F96" i="3"/>
  <c r="D96" i="3"/>
  <c r="N96" i="3" s="1"/>
  <c r="F58" i="4" l="1"/>
  <c r="K58" i="4" s="1"/>
  <c r="L58" i="4" s="1"/>
  <c r="C59" i="4" s="1"/>
  <c r="O58" i="4"/>
  <c r="H58" i="4"/>
  <c r="E97" i="3"/>
  <c r="J97" i="3" s="1"/>
  <c r="C97" i="3"/>
  <c r="G97" i="3"/>
  <c r="F97" i="3"/>
  <c r="D97" i="3"/>
  <c r="N97" i="3" s="1"/>
  <c r="N59" i="4" l="1"/>
  <c r="J59" i="4"/>
  <c r="M58" i="4"/>
  <c r="G59" i="4"/>
  <c r="D59" i="4"/>
  <c r="E59" i="4" s="1"/>
  <c r="K97" i="3"/>
  <c r="B98" i="3" s="1"/>
  <c r="L97" i="3"/>
  <c r="O97" i="3" s="1"/>
  <c r="P97" i="3" s="1"/>
  <c r="F59" i="4" l="1"/>
  <c r="K59" i="4" s="1"/>
  <c r="L59" i="4" s="1"/>
  <c r="O59" i="4"/>
  <c r="P58" i="4"/>
  <c r="Q58" i="4" s="1"/>
  <c r="H59" i="4"/>
  <c r="E98" i="3"/>
  <c r="J98" i="3" s="1"/>
  <c r="K98" i="3" s="1"/>
  <c r="B99" i="3" s="1"/>
  <c r="C98" i="3"/>
  <c r="F98" i="3"/>
  <c r="D98" i="3"/>
  <c r="N98" i="3" s="1"/>
  <c r="G98" i="3"/>
  <c r="M59" i="4" l="1"/>
  <c r="C60" i="4"/>
  <c r="C99" i="3"/>
  <c r="K99" i="3" s="1"/>
  <c r="B100" i="3" s="1"/>
  <c r="E99" i="3"/>
  <c r="J99" i="3"/>
  <c r="D99" i="3"/>
  <c r="F99" i="3"/>
  <c r="L98" i="3"/>
  <c r="O98" i="3" s="1"/>
  <c r="P98" i="3" s="1"/>
  <c r="N60" i="4" l="1"/>
  <c r="J60" i="4"/>
  <c r="P59" i="4"/>
  <c r="Q59" i="4" s="1"/>
  <c r="G60" i="4"/>
  <c r="D60" i="4"/>
  <c r="E60" i="4" s="1"/>
  <c r="J100" i="3"/>
  <c r="C100" i="3"/>
  <c r="K100" i="3" s="1"/>
  <c r="B101" i="3" s="1"/>
  <c r="E100" i="3"/>
  <c r="G100" i="3"/>
  <c r="F100" i="3"/>
  <c r="D100" i="3"/>
  <c r="N100" i="3" s="1"/>
  <c r="N99" i="3"/>
  <c r="G99" i="3"/>
  <c r="L99" i="3" s="1"/>
  <c r="O99" i="3" s="1"/>
  <c r="P99" i="3" s="1"/>
  <c r="F60" i="4" l="1"/>
  <c r="O60" i="4"/>
  <c r="H60" i="4"/>
  <c r="K60" i="4"/>
  <c r="L60" i="4" s="1"/>
  <c r="C101" i="3"/>
  <c r="E101" i="3"/>
  <c r="J101" i="3" s="1"/>
  <c r="K101" i="3" s="1"/>
  <c r="B102" i="3" s="1"/>
  <c r="G101" i="3"/>
  <c r="F101" i="3"/>
  <c r="D101" i="3"/>
  <c r="N101" i="3" s="1"/>
  <c r="L100" i="3"/>
  <c r="O100" i="3" s="1"/>
  <c r="P100" i="3" s="1"/>
  <c r="M60" i="4" l="1"/>
  <c r="C61" i="4"/>
  <c r="C102" i="3"/>
  <c r="E102" i="3"/>
  <c r="J102" i="3"/>
  <c r="K102" i="3" s="1"/>
  <c r="B103" i="3" s="1"/>
  <c r="F102" i="3"/>
  <c r="D102" i="3"/>
  <c r="N102" i="3" s="1"/>
  <c r="G102" i="3"/>
  <c r="L101" i="3"/>
  <c r="O101" i="3" s="1"/>
  <c r="P101" i="3" s="1"/>
  <c r="N61" i="4" l="1"/>
  <c r="J61" i="4"/>
  <c r="P60" i="4"/>
  <c r="Q60" i="4" s="1"/>
  <c r="G61" i="4"/>
  <c r="D61" i="4"/>
  <c r="E61" i="4" s="1"/>
  <c r="C103" i="3"/>
  <c r="K103" i="3" s="1"/>
  <c r="B104" i="3" s="1"/>
  <c r="E103" i="3"/>
  <c r="J103" i="3"/>
  <c r="G103" i="3"/>
  <c r="D103" i="3"/>
  <c r="N103" i="3" s="1"/>
  <c r="F103" i="3"/>
  <c r="L102" i="3"/>
  <c r="O102" i="3" s="1"/>
  <c r="P102" i="3" s="1"/>
  <c r="F61" i="4" l="1"/>
  <c r="O61" i="4"/>
  <c r="H61" i="4"/>
  <c r="C104" i="3"/>
  <c r="K104" i="3" s="1"/>
  <c r="B105" i="3" s="1"/>
  <c r="E104" i="3"/>
  <c r="J104" i="3" s="1"/>
  <c r="G104" i="3"/>
  <c r="F104" i="3"/>
  <c r="D104" i="3"/>
  <c r="N104" i="3" s="1"/>
  <c r="L103" i="3"/>
  <c r="O103" i="3" s="1"/>
  <c r="P103" i="3" s="1"/>
  <c r="E105" i="3" l="1"/>
  <c r="J105" i="3" s="1"/>
  <c r="K105" i="3" s="1"/>
  <c r="B106" i="3" s="1"/>
  <c r="C105" i="3"/>
  <c r="G105" i="3"/>
  <c r="F105" i="3"/>
  <c r="D105" i="3"/>
  <c r="N105" i="3" s="1"/>
  <c r="L104" i="3"/>
  <c r="O104" i="3" s="1"/>
  <c r="P104" i="3" s="1"/>
  <c r="K61" i="4" l="1"/>
  <c r="L61" i="4" s="1"/>
  <c r="C62" i="4" s="1"/>
  <c r="M61" i="4"/>
  <c r="P61" i="4" s="1"/>
  <c r="Q61" i="4" s="1"/>
  <c r="E106" i="3"/>
  <c r="J106" i="3"/>
  <c r="C106" i="3"/>
  <c r="K106" i="3"/>
  <c r="B107" i="3" s="1"/>
  <c r="F106" i="3"/>
  <c r="D106" i="3"/>
  <c r="N106" i="3" s="1"/>
  <c r="G106" i="3"/>
  <c r="L106" i="3" s="1"/>
  <c r="O106" i="3" s="1"/>
  <c r="P106" i="3" s="1"/>
  <c r="L105" i="3"/>
  <c r="O105" i="3" s="1"/>
  <c r="P105" i="3" s="1"/>
  <c r="N62" i="4" l="1"/>
  <c r="J62" i="4"/>
  <c r="D62" i="4"/>
  <c r="E62" i="4" s="1"/>
  <c r="G62" i="4"/>
  <c r="C107" i="3"/>
  <c r="K107" i="3" s="1"/>
  <c r="B108" i="3" s="1"/>
  <c r="E107" i="3"/>
  <c r="J107" i="3"/>
  <c r="D107" i="3"/>
  <c r="N107" i="3" s="1"/>
  <c r="F107" i="3"/>
  <c r="F62" i="4" l="1"/>
  <c r="K62" i="4" s="1"/>
  <c r="L62" i="4" s="1"/>
  <c r="C63" i="4" s="1"/>
  <c r="O62" i="4"/>
  <c r="H62" i="4"/>
  <c r="C108" i="3"/>
  <c r="E108" i="3"/>
  <c r="J108" i="3" s="1"/>
  <c r="K108" i="3" s="1"/>
  <c r="B109" i="3" s="1"/>
  <c r="G108" i="3"/>
  <c r="D108" i="3"/>
  <c r="F108" i="3"/>
  <c r="G107" i="3"/>
  <c r="L107" i="3" s="1"/>
  <c r="O107" i="3" s="1"/>
  <c r="P107" i="3" s="1"/>
  <c r="N63" i="4" l="1"/>
  <c r="J63" i="4"/>
  <c r="D63" i="4"/>
  <c r="E63" i="4" s="1"/>
  <c r="G63" i="4"/>
  <c r="M62" i="4"/>
  <c r="C109" i="3"/>
  <c r="E109" i="3"/>
  <c r="J109" i="3" s="1"/>
  <c r="K109" i="3" s="1"/>
  <c r="B110" i="3" s="1"/>
  <c r="G109" i="3"/>
  <c r="F109" i="3"/>
  <c r="D109" i="3"/>
  <c r="N108" i="3"/>
  <c r="L108" i="3"/>
  <c r="F63" i="4" l="1"/>
  <c r="K63" i="4" s="1"/>
  <c r="L63" i="4" s="1"/>
  <c r="C64" i="4" s="1"/>
  <c r="O63" i="4"/>
  <c r="P62" i="4"/>
  <c r="Q62" i="4" s="1"/>
  <c r="H63" i="4"/>
  <c r="C110" i="3"/>
  <c r="E110" i="3"/>
  <c r="J110" i="3"/>
  <c r="K110" i="3"/>
  <c r="B111" i="3" s="1"/>
  <c r="G110" i="3"/>
  <c r="L110" i="3" s="1"/>
  <c r="O110" i="3" s="1"/>
  <c r="P110" i="3" s="1"/>
  <c r="F110" i="3"/>
  <c r="D110" i="3"/>
  <c r="N110" i="3" s="1"/>
  <c r="L109" i="3"/>
  <c r="O109" i="3" s="1"/>
  <c r="P109" i="3" s="1"/>
  <c r="N109" i="3"/>
  <c r="O108" i="3"/>
  <c r="P108" i="3" s="1"/>
  <c r="N64" i="4" l="1"/>
  <c r="J64" i="4"/>
  <c r="M63" i="4"/>
  <c r="G64" i="4"/>
  <c r="D64" i="4"/>
  <c r="E64" i="4" s="1"/>
  <c r="C111" i="3"/>
  <c r="E111" i="3"/>
  <c r="J111" i="3" s="1"/>
  <c r="K111" i="3" s="1"/>
  <c r="B112" i="3" s="1"/>
  <c r="F111" i="3"/>
  <c r="D111" i="3"/>
  <c r="N111" i="3" s="1"/>
  <c r="G111" i="3"/>
  <c r="F64" i="4" l="1"/>
  <c r="O64" i="4"/>
  <c r="P63" i="4"/>
  <c r="Q63" i="4" s="1"/>
  <c r="H64" i="4"/>
  <c r="K64" i="4"/>
  <c r="L64" i="4" s="1"/>
  <c r="C65" i="4" s="1"/>
  <c r="C112" i="3"/>
  <c r="E112" i="3"/>
  <c r="J112" i="3" s="1"/>
  <c r="K112" i="3" s="1"/>
  <c r="B113" i="3" s="1"/>
  <c r="G112" i="3"/>
  <c r="D112" i="3"/>
  <c r="N112" i="3" s="1"/>
  <c r="F112" i="3"/>
  <c r="L111" i="3"/>
  <c r="O111" i="3" s="1"/>
  <c r="P111" i="3" s="1"/>
  <c r="N65" i="4" l="1"/>
  <c r="J65" i="4"/>
  <c r="D65" i="4"/>
  <c r="E65" i="4" s="1"/>
  <c r="G65" i="4"/>
  <c r="M64" i="4"/>
  <c r="E113" i="3"/>
  <c r="J113" i="3" s="1"/>
  <c r="K113" i="3" s="1"/>
  <c r="B114" i="3" s="1"/>
  <c r="C113" i="3"/>
  <c r="G113" i="3"/>
  <c r="F113" i="3"/>
  <c r="D113" i="3"/>
  <c r="N113" i="3" s="1"/>
  <c r="L112" i="3"/>
  <c r="O112" i="3" s="1"/>
  <c r="P112" i="3" s="1"/>
  <c r="F65" i="4" l="1"/>
  <c r="K65" i="4" s="1"/>
  <c r="L65" i="4" s="1"/>
  <c r="C66" i="4" s="1"/>
  <c r="O65" i="4"/>
  <c r="P64" i="4"/>
  <c r="Q64" i="4" s="1"/>
  <c r="H65" i="4"/>
  <c r="E114" i="3"/>
  <c r="J114" i="3" s="1"/>
  <c r="K114" i="3" s="1"/>
  <c r="B115" i="3" s="1"/>
  <c r="C114" i="3"/>
  <c r="G114" i="3"/>
  <c r="L114" i="3" s="1"/>
  <c r="O114" i="3" s="1"/>
  <c r="P114" i="3" s="1"/>
  <c r="F114" i="3"/>
  <c r="D114" i="3"/>
  <c r="N114" i="3" s="1"/>
  <c r="L113" i="3"/>
  <c r="O113" i="3" s="1"/>
  <c r="P113" i="3" s="1"/>
  <c r="N66" i="4" l="1"/>
  <c r="J66" i="4"/>
  <c r="D66" i="4"/>
  <c r="E66" i="4" s="1"/>
  <c r="G66" i="4"/>
  <c r="M65" i="4"/>
  <c r="C115" i="3"/>
  <c r="E115" i="3"/>
  <c r="J115" i="3" s="1"/>
  <c r="K115" i="3" s="1"/>
  <c r="B116" i="3" s="1"/>
  <c r="F115" i="3"/>
  <c r="D115" i="3"/>
  <c r="N115" i="3" s="1"/>
  <c r="G115" i="3"/>
  <c r="F66" i="4" l="1"/>
  <c r="O66" i="4"/>
  <c r="P65" i="4"/>
  <c r="Q65" i="4" s="1"/>
  <c r="H66" i="4"/>
  <c r="K66" i="4"/>
  <c r="L66" i="4" s="1"/>
  <c r="C67" i="4" s="1"/>
  <c r="C116" i="3"/>
  <c r="K116" i="3" s="1"/>
  <c r="B117" i="3" s="1"/>
  <c r="E116" i="3"/>
  <c r="J116" i="3" s="1"/>
  <c r="G116" i="3"/>
  <c r="L116" i="3" s="1"/>
  <c r="O116" i="3" s="1"/>
  <c r="P116" i="3" s="1"/>
  <c r="D116" i="3"/>
  <c r="N116" i="3" s="1"/>
  <c r="F116" i="3"/>
  <c r="L115" i="3"/>
  <c r="O115" i="3" s="1"/>
  <c r="P115" i="3" s="1"/>
  <c r="N67" i="4" l="1"/>
  <c r="J67" i="4"/>
  <c r="D67" i="4"/>
  <c r="E67" i="4" s="1"/>
  <c r="G67" i="4"/>
  <c r="M66" i="4"/>
  <c r="C117" i="3"/>
  <c r="K117" i="3" s="1"/>
  <c r="B118" i="3" s="1"/>
  <c r="J117" i="3"/>
  <c r="E117" i="3"/>
  <c r="F117" i="3"/>
  <c r="D117" i="3"/>
  <c r="N117" i="3" s="1"/>
  <c r="O67" i="4" l="1"/>
  <c r="H67" i="4"/>
  <c r="F67" i="4"/>
  <c r="K67" i="4" s="1"/>
  <c r="L67" i="4" s="1"/>
  <c r="C68" i="4" s="1"/>
  <c r="P66" i="4"/>
  <c r="Q66" i="4" s="1"/>
  <c r="C118" i="3"/>
  <c r="E118" i="3"/>
  <c r="J118" i="3" s="1"/>
  <c r="K118" i="3" s="1"/>
  <c r="B119" i="3" s="1"/>
  <c r="G118" i="3"/>
  <c r="F118" i="3"/>
  <c r="D118" i="3"/>
  <c r="N118" i="3" s="1"/>
  <c r="G117" i="3"/>
  <c r="L117" i="3" s="1"/>
  <c r="O117" i="3" s="1"/>
  <c r="P117" i="3" s="1"/>
  <c r="N68" i="4" l="1"/>
  <c r="J68" i="4"/>
  <c r="M67" i="4"/>
  <c r="P67" i="4" s="1"/>
  <c r="Q67" i="4" s="1"/>
  <c r="D68" i="4"/>
  <c r="E68" i="4" s="1"/>
  <c r="G68" i="4"/>
  <c r="K119" i="3"/>
  <c r="B120" i="3" s="1"/>
  <c r="C119" i="3"/>
  <c r="E119" i="3"/>
  <c r="J119" i="3"/>
  <c r="F119" i="3"/>
  <c r="D119" i="3"/>
  <c r="G119" i="3"/>
  <c r="L118" i="3"/>
  <c r="O118" i="3" s="1"/>
  <c r="P118" i="3" s="1"/>
  <c r="F68" i="4" l="1"/>
  <c r="K68" i="4" s="1"/>
  <c r="L68" i="4" s="1"/>
  <c r="C69" i="4" s="1"/>
  <c r="O68" i="4"/>
  <c r="H68" i="4"/>
  <c r="L119" i="3"/>
  <c r="C120" i="3"/>
  <c r="E120" i="3"/>
  <c r="J120" i="3"/>
  <c r="K120" i="3" s="1"/>
  <c r="B121" i="3" s="1"/>
  <c r="F120" i="3"/>
  <c r="D120" i="3"/>
  <c r="N120" i="3" s="1"/>
  <c r="G120" i="3"/>
  <c r="L120" i="3" s="1"/>
  <c r="O120" i="3" s="1"/>
  <c r="P120" i="3" s="1"/>
  <c r="N119" i="3"/>
  <c r="M68" i="4" l="1"/>
  <c r="P68" i="4" s="1"/>
  <c r="Q68" i="4" s="1"/>
  <c r="N69" i="4"/>
  <c r="J69" i="4"/>
  <c r="G69" i="4"/>
  <c r="D69" i="4"/>
  <c r="E69" i="4" s="1"/>
  <c r="E121" i="3"/>
  <c r="J121" i="3" s="1"/>
  <c r="C121" i="3"/>
  <c r="G121" i="3"/>
  <c r="L121" i="3" s="1"/>
  <c r="O121" i="3" s="1"/>
  <c r="P121" i="3" s="1"/>
  <c r="D121" i="3"/>
  <c r="N121" i="3" s="1"/>
  <c r="F121" i="3"/>
  <c r="O119" i="3"/>
  <c r="P119" i="3" s="1"/>
  <c r="F69" i="4" l="1"/>
  <c r="K69" i="4" s="1"/>
  <c r="L69" i="4" s="1"/>
  <c r="C70" i="4" s="1"/>
  <c r="O69" i="4"/>
  <c r="H69" i="4"/>
  <c r="K121" i="3"/>
  <c r="B122" i="3" s="1"/>
  <c r="N70" i="4" l="1"/>
  <c r="J70" i="4"/>
  <c r="M69" i="4"/>
  <c r="D70" i="4"/>
  <c r="E70" i="4" s="1"/>
  <c r="G70" i="4"/>
  <c r="E122" i="3"/>
  <c r="J122" i="3"/>
  <c r="K122" i="3"/>
  <c r="B123" i="3" s="1"/>
  <c r="C122" i="3"/>
  <c r="G122" i="3"/>
  <c r="F122" i="3"/>
  <c r="D122" i="3"/>
  <c r="N122" i="3" s="1"/>
  <c r="F70" i="4" l="1"/>
  <c r="K70" i="4" s="1"/>
  <c r="L70" i="4" s="1"/>
  <c r="C71" i="4" s="1"/>
  <c r="O70" i="4"/>
  <c r="P69" i="4"/>
  <c r="Q69" i="4" s="1"/>
  <c r="H70" i="4"/>
  <c r="L122" i="3"/>
  <c r="O122" i="3" s="1"/>
  <c r="P122" i="3" s="1"/>
  <c r="C123" i="3"/>
  <c r="E123" i="3"/>
  <c r="J123" i="3" s="1"/>
  <c r="K123" i="3" s="1"/>
  <c r="B124" i="3" s="1"/>
  <c r="G123" i="3"/>
  <c r="F123" i="3"/>
  <c r="D123" i="3"/>
  <c r="N123" i="3" s="1"/>
  <c r="N71" i="4" l="1"/>
  <c r="J71" i="4"/>
  <c r="M70" i="4"/>
  <c r="D71" i="4"/>
  <c r="E71" i="4" s="1"/>
  <c r="G71" i="4"/>
  <c r="J124" i="3"/>
  <c r="C124" i="3"/>
  <c r="K124" i="3" s="1"/>
  <c r="B125" i="3" s="1"/>
  <c r="E124" i="3"/>
  <c r="F124" i="3"/>
  <c r="D124" i="3"/>
  <c r="G124" i="3"/>
  <c r="L124" i="3" s="1"/>
  <c r="L123" i="3"/>
  <c r="O123" i="3" s="1"/>
  <c r="P123" i="3" s="1"/>
  <c r="F71" i="4" l="1"/>
  <c r="O71" i="4"/>
  <c r="P70" i="4"/>
  <c r="Q70" i="4" s="1"/>
  <c r="H71" i="4"/>
  <c r="K71" i="4"/>
  <c r="L71" i="4" s="1"/>
  <c r="C72" i="4" s="1"/>
  <c r="C125" i="3"/>
  <c r="E125" i="3"/>
  <c r="J125" i="3" s="1"/>
  <c r="D125" i="3"/>
  <c r="N125" i="3" s="1"/>
  <c r="F125" i="3"/>
  <c r="N124" i="3"/>
  <c r="O124" i="3" s="1"/>
  <c r="P124" i="3" s="1"/>
  <c r="N72" i="4" l="1"/>
  <c r="J72" i="4"/>
  <c r="M71" i="4"/>
  <c r="G72" i="4"/>
  <c r="D72" i="4"/>
  <c r="E72" i="4" s="1"/>
  <c r="K125" i="3"/>
  <c r="B126" i="3" s="1"/>
  <c r="G125" i="3"/>
  <c r="L125" i="3" s="1"/>
  <c r="O125" i="3" s="1"/>
  <c r="P125" i="3" s="1"/>
  <c r="F72" i="4" l="1"/>
  <c r="K72" i="4" s="1"/>
  <c r="L72" i="4" s="1"/>
  <c r="C73" i="4" s="1"/>
  <c r="O72" i="4"/>
  <c r="P71" i="4"/>
  <c r="Q71" i="4" s="1"/>
  <c r="H72" i="4"/>
  <c r="C126" i="3"/>
  <c r="K126" i="3" s="1"/>
  <c r="B127" i="3" s="1"/>
  <c r="E126" i="3"/>
  <c r="J126" i="3" s="1"/>
  <c r="G126" i="3"/>
  <c r="F126" i="3"/>
  <c r="D126" i="3"/>
  <c r="N126" i="3" s="1"/>
  <c r="N73" i="4" l="1"/>
  <c r="J73" i="4"/>
  <c r="M72" i="4"/>
  <c r="G73" i="4"/>
  <c r="D73" i="4"/>
  <c r="E73" i="4" s="1"/>
  <c r="C127" i="3"/>
  <c r="K127" i="3" s="1"/>
  <c r="B128" i="3" s="1"/>
  <c r="E127" i="3"/>
  <c r="J127" i="3" s="1"/>
  <c r="G127" i="3"/>
  <c r="F127" i="3"/>
  <c r="D127" i="3"/>
  <c r="N127" i="3" s="1"/>
  <c r="L126" i="3"/>
  <c r="O126" i="3" s="1"/>
  <c r="P126" i="3" s="1"/>
  <c r="F73" i="4" l="1"/>
  <c r="K73" i="4" s="1"/>
  <c r="L73" i="4" s="1"/>
  <c r="O73" i="4"/>
  <c r="P72" i="4"/>
  <c r="Q72" i="4" s="1"/>
  <c r="H73" i="4"/>
  <c r="C128" i="3"/>
  <c r="E128" i="3"/>
  <c r="J128" i="3" s="1"/>
  <c r="F128" i="3"/>
  <c r="D128" i="3"/>
  <c r="N128" i="3" s="1"/>
  <c r="L127" i="3"/>
  <c r="O127" i="3" s="1"/>
  <c r="P127" i="3" s="1"/>
  <c r="M73" i="4" l="1"/>
  <c r="C74" i="4"/>
  <c r="K128" i="3"/>
  <c r="B129" i="3" s="1"/>
  <c r="G128" i="3"/>
  <c r="L128" i="3" s="1"/>
  <c r="O128" i="3" s="1"/>
  <c r="P128" i="3" s="1"/>
  <c r="N74" i="4" l="1"/>
  <c r="J74" i="4"/>
  <c r="P73" i="4"/>
  <c r="Q73" i="4" s="1"/>
  <c r="G74" i="4"/>
  <c r="D74" i="4"/>
  <c r="E74" i="4" s="1"/>
  <c r="E129" i="3"/>
  <c r="J129" i="3"/>
  <c r="C129" i="3"/>
  <c r="K129" i="3" s="1"/>
  <c r="B130" i="3" s="1"/>
  <c r="G129" i="3"/>
  <c r="D129" i="3"/>
  <c r="N129" i="3" s="1"/>
  <c r="F129" i="3"/>
  <c r="F74" i="4" l="1"/>
  <c r="K74" i="4" s="1"/>
  <c r="L74" i="4" s="1"/>
  <c r="O74" i="4"/>
  <c r="H74" i="4"/>
  <c r="E130" i="3"/>
  <c r="J130" i="3" s="1"/>
  <c r="C130" i="3"/>
  <c r="F130" i="3"/>
  <c r="D130" i="3"/>
  <c r="N130" i="3" s="1"/>
  <c r="L129" i="3"/>
  <c r="O129" i="3" s="1"/>
  <c r="P129" i="3" s="1"/>
  <c r="M74" i="4" l="1"/>
  <c r="C75" i="4"/>
  <c r="K130" i="3"/>
  <c r="B131" i="3" s="1"/>
  <c r="G130" i="3"/>
  <c r="L130" i="3" s="1"/>
  <c r="O130" i="3" s="1"/>
  <c r="P130" i="3" s="1"/>
  <c r="N75" i="4" l="1"/>
  <c r="J75" i="4"/>
  <c r="P74" i="4"/>
  <c r="Q74" i="4" s="1"/>
  <c r="G75" i="4"/>
  <c r="D75" i="4"/>
  <c r="E75" i="4" s="1"/>
  <c r="C131" i="3"/>
  <c r="K131" i="3" s="1"/>
  <c r="B132" i="3" s="1"/>
  <c r="E131" i="3"/>
  <c r="J131" i="3"/>
  <c r="F131" i="3"/>
  <c r="D131" i="3"/>
  <c r="N131" i="3" s="1"/>
  <c r="F75" i="4" l="1"/>
  <c r="O75" i="4"/>
  <c r="H75" i="4"/>
  <c r="K75" i="4"/>
  <c r="L75" i="4" s="1"/>
  <c r="C132" i="3"/>
  <c r="E132" i="3"/>
  <c r="J132" i="3" s="1"/>
  <c r="F132" i="3"/>
  <c r="D132" i="3"/>
  <c r="N132" i="3" s="1"/>
  <c r="G131" i="3"/>
  <c r="L131" i="3" s="1"/>
  <c r="O131" i="3" s="1"/>
  <c r="P131" i="3" s="1"/>
  <c r="M75" i="4" l="1"/>
  <c r="C76" i="4"/>
  <c r="K132" i="3"/>
  <c r="B133" i="3" s="1"/>
  <c r="G132" i="3"/>
  <c r="L132" i="3" s="1"/>
  <c r="O132" i="3" s="1"/>
  <c r="P132" i="3" s="1"/>
  <c r="N76" i="4" l="1"/>
  <c r="J76" i="4"/>
  <c r="P75" i="4"/>
  <c r="Q75" i="4" s="1"/>
  <c r="D76" i="4"/>
  <c r="E76" i="4" s="1"/>
  <c r="G76" i="4"/>
  <c r="C133" i="3"/>
  <c r="E133" i="3"/>
  <c r="J133" i="3" s="1"/>
  <c r="K133" i="3" s="1"/>
  <c r="B134" i="3" s="1"/>
  <c r="F133" i="3"/>
  <c r="D133" i="3"/>
  <c r="N133" i="3" s="1"/>
  <c r="G133" i="3"/>
  <c r="F76" i="4" l="1"/>
  <c r="K76" i="4" s="1"/>
  <c r="L76" i="4" s="1"/>
  <c r="C77" i="4" s="1"/>
  <c r="O76" i="4"/>
  <c r="H76" i="4"/>
  <c r="C134" i="3"/>
  <c r="E134" i="3"/>
  <c r="J134" i="3" s="1"/>
  <c r="K134" i="3" s="1"/>
  <c r="B135" i="3" s="1"/>
  <c r="G134" i="3"/>
  <c r="D134" i="3"/>
  <c r="N134" i="3" s="1"/>
  <c r="F134" i="3"/>
  <c r="L133" i="3"/>
  <c r="O133" i="3" s="1"/>
  <c r="P133" i="3" s="1"/>
  <c r="N77" i="4" l="1"/>
  <c r="J77" i="4"/>
  <c r="M76" i="4"/>
  <c r="D77" i="4"/>
  <c r="E77" i="4" s="1"/>
  <c r="G77" i="4"/>
  <c r="K135" i="3"/>
  <c r="B136" i="3" s="1"/>
  <c r="C135" i="3"/>
  <c r="G135" i="3" s="1"/>
  <c r="L135" i="3" s="1"/>
  <c r="O135" i="3" s="1"/>
  <c r="P135" i="3" s="1"/>
  <c r="E135" i="3"/>
  <c r="J135" i="3"/>
  <c r="F135" i="3"/>
  <c r="D135" i="3"/>
  <c r="N135" i="3" s="1"/>
  <c r="L134" i="3"/>
  <c r="O134" i="3" s="1"/>
  <c r="P134" i="3" s="1"/>
  <c r="F77" i="4" l="1"/>
  <c r="K77" i="4" s="1"/>
  <c r="L77" i="4" s="1"/>
  <c r="C78" i="4" s="1"/>
  <c r="O77" i="4"/>
  <c r="H77" i="4"/>
  <c r="P76" i="4"/>
  <c r="Q76" i="4" s="1"/>
  <c r="C136" i="3"/>
  <c r="E136" i="3"/>
  <c r="J136" i="3" s="1"/>
  <c r="G136" i="3"/>
  <c r="F136" i="3"/>
  <c r="D136" i="3"/>
  <c r="N136" i="3" s="1"/>
  <c r="J78" i="4" l="1"/>
  <c r="N78" i="4"/>
  <c r="M77" i="4"/>
  <c r="D78" i="4"/>
  <c r="E78" i="4" s="1"/>
  <c r="G78" i="4"/>
  <c r="K136" i="3"/>
  <c r="B137" i="3" s="1"/>
  <c r="L136" i="3"/>
  <c r="O136" i="3" s="1"/>
  <c r="P136" i="3" s="1"/>
  <c r="F78" i="4" l="1"/>
  <c r="K78" i="4" s="1"/>
  <c r="L78" i="4" s="1"/>
  <c r="C79" i="4" s="1"/>
  <c r="O78" i="4"/>
  <c r="P77" i="4"/>
  <c r="Q77" i="4" s="1"/>
  <c r="H78" i="4"/>
  <c r="E137" i="3"/>
  <c r="J137" i="3" s="1"/>
  <c r="C137" i="3"/>
  <c r="K137" i="3" s="1"/>
  <c r="B138" i="3" s="1"/>
  <c r="F137" i="3"/>
  <c r="D137" i="3"/>
  <c r="N137" i="3" s="1"/>
  <c r="G137" i="3"/>
  <c r="N79" i="4" l="1"/>
  <c r="J79" i="4"/>
  <c r="M78" i="4"/>
  <c r="G79" i="4"/>
  <c r="D79" i="4"/>
  <c r="E79" i="4" s="1"/>
  <c r="E138" i="3"/>
  <c r="J138" i="3"/>
  <c r="C138" i="3"/>
  <c r="G138" i="3" s="1"/>
  <c r="L138" i="3" s="1"/>
  <c r="D138" i="3"/>
  <c r="F138" i="3"/>
  <c r="L137" i="3"/>
  <c r="O137" i="3" s="1"/>
  <c r="P137" i="3" s="1"/>
  <c r="F79" i="4" l="1"/>
  <c r="K79" i="4" s="1"/>
  <c r="L79" i="4" s="1"/>
  <c r="O79" i="4"/>
  <c r="P78" i="4"/>
  <c r="Q78" i="4" s="1"/>
  <c r="H79" i="4"/>
  <c r="K138" i="3"/>
  <c r="B139" i="3" s="1"/>
  <c r="N138" i="3"/>
  <c r="O138" i="3" s="1"/>
  <c r="P138" i="3" s="1"/>
  <c r="M79" i="4" l="1"/>
  <c r="C80" i="4"/>
  <c r="C139" i="3"/>
  <c r="E139" i="3"/>
  <c r="J139" i="3" s="1"/>
  <c r="K139" i="3" s="1"/>
  <c r="B140" i="3" s="1"/>
  <c r="G139" i="3"/>
  <c r="F139" i="3"/>
  <c r="D139" i="3"/>
  <c r="N139" i="3" s="1"/>
  <c r="N80" i="4" l="1"/>
  <c r="J80" i="4"/>
  <c r="P79" i="4"/>
  <c r="Q79" i="4" s="1"/>
  <c r="G80" i="4"/>
  <c r="D80" i="4"/>
  <c r="E80" i="4" s="1"/>
  <c r="C140" i="3"/>
  <c r="E140" i="3"/>
  <c r="J140" i="3" s="1"/>
  <c r="G140" i="3"/>
  <c r="F140" i="3"/>
  <c r="D140" i="3"/>
  <c r="N140" i="3" s="1"/>
  <c r="L139" i="3"/>
  <c r="O139" i="3" s="1"/>
  <c r="P139" i="3" s="1"/>
  <c r="F80" i="4" l="1"/>
  <c r="K80" i="4" s="1"/>
  <c r="L80" i="4" s="1"/>
  <c r="C81" i="4" s="1"/>
  <c r="O80" i="4"/>
  <c r="H80" i="4"/>
  <c r="K140" i="3"/>
  <c r="B141" i="3" s="1"/>
  <c r="L140" i="3"/>
  <c r="O140" i="3" s="1"/>
  <c r="P140" i="3" s="1"/>
  <c r="N81" i="4" l="1"/>
  <c r="J81" i="4"/>
  <c r="M80" i="4"/>
  <c r="G81" i="4"/>
  <c r="D81" i="4"/>
  <c r="E81" i="4" s="1"/>
  <c r="C141" i="3"/>
  <c r="G141" i="3" s="1"/>
  <c r="L141" i="3" s="1"/>
  <c r="E141" i="3"/>
  <c r="J141" i="3" s="1"/>
  <c r="K141" i="3" s="1"/>
  <c r="B142" i="3" s="1"/>
  <c r="F141" i="3"/>
  <c r="D141" i="3"/>
  <c r="F81" i="4" l="1"/>
  <c r="O81" i="4"/>
  <c r="P80" i="4"/>
  <c r="Q80" i="4" s="1"/>
  <c r="H81" i="4"/>
  <c r="K81" i="4"/>
  <c r="L81" i="4" s="1"/>
  <c r="C82" i="4" s="1"/>
  <c r="C142" i="3"/>
  <c r="E142" i="3"/>
  <c r="J142" i="3" s="1"/>
  <c r="K142" i="3" s="1"/>
  <c r="B143" i="3" s="1"/>
  <c r="G142" i="3"/>
  <c r="F142" i="3"/>
  <c r="D142" i="3"/>
  <c r="N142" i="3" s="1"/>
  <c r="N141" i="3"/>
  <c r="O141" i="3" s="1"/>
  <c r="P141" i="3" s="1"/>
  <c r="N82" i="4" l="1"/>
  <c r="J82" i="4"/>
  <c r="M81" i="4"/>
  <c r="D82" i="4"/>
  <c r="E82" i="4" s="1"/>
  <c r="G82" i="4"/>
  <c r="C143" i="3"/>
  <c r="G143" i="3" s="1"/>
  <c r="L143" i="3" s="1"/>
  <c r="O143" i="3" s="1"/>
  <c r="P143" i="3" s="1"/>
  <c r="E143" i="3"/>
  <c r="J143" i="3" s="1"/>
  <c r="F143" i="3"/>
  <c r="D143" i="3"/>
  <c r="N143" i="3" s="1"/>
  <c r="L142" i="3"/>
  <c r="O142" i="3" s="1"/>
  <c r="P142" i="3" s="1"/>
  <c r="F82" i="4" l="1"/>
  <c r="K82" i="4" s="1"/>
  <c r="L82" i="4" s="1"/>
  <c r="O82" i="4"/>
  <c r="P81" i="4"/>
  <c r="Q81" i="4" s="1"/>
  <c r="H82" i="4"/>
  <c r="K143" i="3"/>
  <c r="B144" i="3" s="1"/>
  <c r="M82" i="4" l="1"/>
  <c r="C83" i="4"/>
  <c r="C144" i="3"/>
  <c r="E144" i="3"/>
  <c r="J144" i="3" s="1"/>
  <c r="K144" i="3" s="1"/>
  <c r="B145" i="3" s="1"/>
  <c r="G144" i="3"/>
  <c r="F144" i="3"/>
  <c r="D144" i="3"/>
  <c r="N144" i="3" s="1"/>
  <c r="N83" i="4" l="1"/>
  <c r="J83" i="4"/>
  <c r="P82" i="4"/>
  <c r="Q82" i="4" s="1"/>
  <c r="G83" i="4"/>
  <c r="D83" i="4"/>
  <c r="E83" i="4" s="1"/>
  <c r="E145" i="3"/>
  <c r="J145" i="3" s="1"/>
  <c r="C145" i="3"/>
  <c r="K145" i="3" s="1"/>
  <c r="B146" i="3" s="1"/>
  <c r="F145" i="3"/>
  <c r="D145" i="3"/>
  <c r="N145" i="3" s="1"/>
  <c r="L144" i="3"/>
  <c r="O144" i="3" s="1"/>
  <c r="P144" i="3" s="1"/>
  <c r="F83" i="4" l="1"/>
  <c r="K83" i="4" s="1"/>
  <c r="L83" i="4" s="1"/>
  <c r="O83" i="4"/>
  <c r="H83" i="4"/>
  <c r="E146" i="3"/>
  <c r="J146" i="3" s="1"/>
  <c r="K146" i="3" s="1"/>
  <c r="B147" i="3" s="1"/>
  <c r="C146" i="3"/>
  <c r="F146" i="3"/>
  <c r="D146" i="3"/>
  <c r="N146" i="3" s="1"/>
  <c r="G146" i="3"/>
  <c r="G145" i="3"/>
  <c r="L145" i="3" s="1"/>
  <c r="O145" i="3" s="1"/>
  <c r="P145" i="3" s="1"/>
  <c r="M83" i="4" l="1"/>
  <c r="C84" i="4"/>
  <c r="C147" i="3"/>
  <c r="E147" i="3"/>
  <c r="J147" i="3"/>
  <c r="K147" i="3"/>
  <c r="B148" i="3" s="1"/>
  <c r="G147" i="3"/>
  <c r="F147" i="3"/>
  <c r="D147" i="3"/>
  <c r="N147" i="3" s="1"/>
  <c r="L146" i="3"/>
  <c r="O146" i="3" s="1"/>
  <c r="P146" i="3" s="1"/>
  <c r="N84" i="4" l="1"/>
  <c r="J84" i="4"/>
  <c r="P83" i="4"/>
  <c r="Q83" i="4" s="1"/>
  <c r="D84" i="4"/>
  <c r="E84" i="4" s="1"/>
  <c r="G84" i="4"/>
  <c r="L147" i="3"/>
  <c r="O147" i="3" s="1"/>
  <c r="P147" i="3" s="1"/>
  <c r="C148" i="3"/>
  <c r="E148" i="3"/>
  <c r="J148" i="3" s="1"/>
  <c r="K148" i="3" s="1"/>
  <c r="B149" i="3" s="1"/>
  <c r="G148" i="3"/>
  <c r="F148" i="3"/>
  <c r="D148" i="3"/>
  <c r="N148" i="3" s="1"/>
  <c r="F84" i="4" l="1"/>
  <c r="K84" i="4" s="1"/>
  <c r="L84" i="4" s="1"/>
  <c r="C85" i="4" s="1"/>
  <c r="O84" i="4"/>
  <c r="H84" i="4"/>
  <c r="C149" i="3"/>
  <c r="E149" i="3"/>
  <c r="J149" i="3" s="1"/>
  <c r="K149" i="3" s="1"/>
  <c r="B150" i="3" s="1"/>
  <c r="G149" i="3"/>
  <c r="F149" i="3"/>
  <c r="D149" i="3"/>
  <c r="N149" i="3" s="1"/>
  <c r="L148" i="3"/>
  <c r="O148" i="3" s="1"/>
  <c r="P148" i="3" s="1"/>
  <c r="N85" i="4" l="1"/>
  <c r="J85" i="4"/>
  <c r="M84" i="4"/>
  <c r="G85" i="4"/>
  <c r="D85" i="4"/>
  <c r="E85" i="4" s="1"/>
  <c r="C150" i="3"/>
  <c r="K150" i="3" s="1"/>
  <c r="B151" i="3" s="1"/>
  <c r="E150" i="3"/>
  <c r="J150" i="3" s="1"/>
  <c r="F150" i="3"/>
  <c r="D150" i="3"/>
  <c r="N150" i="3" s="1"/>
  <c r="L149" i="3"/>
  <c r="O149" i="3" s="1"/>
  <c r="P149" i="3" s="1"/>
  <c r="F85" i="4" l="1"/>
  <c r="K85" i="4" s="1"/>
  <c r="L85" i="4" s="1"/>
  <c r="C86" i="4" s="1"/>
  <c r="O85" i="4"/>
  <c r="H85" i="4"/>
  <c r="P84" i="4"/>
  <c r="Q84" i="4" s="1"/>
  <c r="E151" i="3"/>
  <c r="J151" i="3" s="1"/>
  <c r="C151" i="3"/>
  <c r="F151" i="3"/>
  <c r="D151" i="3"/>
  <c r="N151" i="3" s="1"/>
  <c r="G150" i="3"/>
  <c r="L150" i="3" s="1"/>
  <c r="O150" i="3" s="1"/>
  <c r="P150" i="3" s="1"/>
  <c r="N86" i="4" l="1"/>
  <c r="J86" i="4"/>
  <c r="M85" i="4"/>
  <c r="G86" i="4"/>
  <c r="D86" i="4"/>
  <c r="H86" i="4" s="1"/>
  <c r="K151" i="3"/>
  <c r="B152" i="3" s="1"/>
  <c r="G151" i="3"/>
  <c r="L151" i="3" s="1"/>
  <c r="O151" i="3" s="1"/>
  <c r="P151" i="3" s="1"/>
  <c r="E86" i="4" l="1"/>
  <c r="O86" i="4" s="1"/>
  <c r="P85" i="4"/>
  <c r="Q85" i="4" s="1"/>
  <c r="C152" i="3"/>
  <c r="E152" i="3"/>
  <c r="J152" i="3" s="1"/>
  <c r="F152" i="3"/>
  <c r="D152" i="3"/>
  <c r="N152" i="3" s="1"/>
  <c r="F86" i="4" l="1"/>
  <c r="K86" i="4" s="1"/>
  <c r="L86" i="4" s="1"/>
  <c r="C87" i="4" s="1"/>
  <c r="K152" i="3"/>
  <c r="B153" i="3" s="1"/>
  <c r="G152" i="3"/>
  <c r="L152" i="3" s="1"/>
  <c r="O152" i="3" s="1"/>
  <c r="P152" i="3" s="1"/>
  <c r="N87" i="4" l="1"/>
  <c r="J87" i="4"/>
  <c r="G87" i="4"/>
  <c r="D87" i="4"/>
  <c r="E87" i="4" s="1"/>
  <c r="M86" i="4"/>
  <c r="P86" i="4" s="1"/>
  <c r="Q86" i="4" s="1"/>
  <c r="C153" i="3"/>
  <c r="G153" i="3" s="1"/>
  <c r="L153" i="3" s="1"/>
  <c r="O153" i="3" s="1"/>
  <c r="P153" i="3" s="1"/>
  <c r="E153" i="3"/>
  <c r="J153" i="3"/>
  <c r="K153" i="3" s="1"/>
  <c r="B154" i="3" s="1"/>
  <c r="F153" i="3"/>
  <c r="D153" i="3"/>
  <c r="N153" i="3" s="1"/>
  <c r="F87" i="4" l="1"/>
  <c r="K87" i="4" s="1"/>
  <c r="L87" i="4" s="1"/>
  <c r="C88" i="4" s="1"/>
  <c r="G88" i="4" s="1"/>
  <c r="O87" i="4"/>
  <c r="H87" i="4"/>
  <c r="C154" i="3"/>
  <c r="K154" i="3" s="1"/>
  <c r="B155" i="3" s="1"/>
  <c r="E154" i="3"/>
  <c r="J154" i="3" s="1"/>
  <c r="D154" i="3"/>
  <c r="N154" i="3" s="1"/>
  <c r="G154" i="3"/>
  <c r="F154" i="3"/>
  <c r="M87" i="4" l="1"/>
  <c r="P87" i="4" s="1"/>
  <c r="Q87" i="4" s="1"/>
  <c r="D88" i="4"/>
  <c r="E88" i="4" s="1"/>
  <c r="F88" i="4" s="1"/>
  <c r="K88" i="4" s="1"/>
  <c r="L88" i="4" s="1"/>
  <c r="N88" i="4"/>
  <c r="J88" i="4"/>
  <c r="H88" i="4"/>
  <c r="E155" i="3"/>
  <c r="J155" i="3" s="1"/>
  <c r="K155" i="3" s="1"/>
  <c r="B156" i="3" s="1"/>
  <c r="C155" i="3"/>
  <c r="G155" i="3"/>
  <c r="F155" i="3"/>
  <c r="D155" i="3"/>
  <c r="N155" i="3" s="1"/>
  <c r="L154" i="3"/>
  <c r="O154" i="3" s="1"/>
  <c r="P154" i="3" s="1"/>
  <c r="O88" i="4" l="1"/>
  <c r="M88" i="4"/>
  <c r="C89" i="4"/>
  <c r="C156" i="3"/>
  <c r="E156" i="3"/>
  <c r="J156" i="3" s="1"/>
  <c r="K156" i="3" s="1"/>
  <c r="B157" i="3" s="1"/>
  <c r="G156" i="3"/>
  <c r="F156" i="3"/>
  <c r="D156" i="3"/>
  <c r="N156" i="3" s="1"/>
  <c r="L155" i="3"/>
  <c r="O155" i="3" s="1"/>
  <c r="P155" i="3" s="1"/>
  <c r="N89" i="4" l="1"/>
  <c r="J89" i="4"/>
  <c r="P88" i="4"/>
  <c r="Q88" i="4" s="1"/>
  <c r="D89" i="4"/>
  <c r="E89" i="4" s="1"/>
  <c r="G89" i="4"/>
  <c r="C157" i="3"/>
  <c r="E157" i="3"/>
  <c r="J157" i="3" s="1"/>
  <c r="K157" i="3" s="1"/>
  <c r="B158" i="3" s="1"/>
  <c r="G157" i="3"/>
  <c r="F157" i="3"/>
  <c r="D157" i="3"/>
  <c r="N157" i="3" s="1"/>
  <c r="L156" i="3"/>
  <c r="O156" i="3" s="1"/>
  <c r="P156" i="3" s="1"/>
  <c r="F89" i="4" l="1"/>
  <c r="K89" i="4" s="1"/>
  <c r="L89" i="4" s="1"/>
  <c r="C90" i="4" s="1"/>
  <c r="O89" i="4"/>
  <c r="H89" i="4"/>
  <c r="C158" i="3"/>
  <c r="E158" i="3"/>
  <c r="J158" i="3" s="1"/>
  <c r="K158" i="3" s="1"/>
  <c r="B159" i="3" s="1"/>
  <c r="G158" i="3"/>
  <c r="F158" i="3"/>
  <c r="D158" i="3"/>
  <c r="N158" i="3" s="1"/>
  <c r="L157" i="3"/>
  <c r="O157" i="3" s="1"/>
  <c r="P157" i="3" s="1"/>
  <c r="N90" i="4" l="1"/>
  <c r="J90" i="4"/>
  <c r="M89" i="4"/>
  <c r="G90" i="4"/>
  <c r="D90" i="4"/>
  <c r="E90" i="4" s="1"/>
  <c r="E159" i="3"/>
  <c r="J159" i="3" s="1"/>
  <c r="C159" i="3"/>
  <c r="K159" i="3" s="1"/>
  <c r="B160" i="3" s="1"/>
  <c r="D159" i="3"/>
  <c r="N159" i="3" s="1"/>
  <c r="G159" i="3"/>
  <c r="F159" i="3"/>
  <c r="L158" i="3"/>
  <c r="O158" i="3" s="1"/>
  <c r="P158" i="3" s="1"/>
  <c r="F90" i="4" l="1"/>
  <c r="O90" i="4"/>
  <c r="P89" i="4"/>
  <c r="Q89" i="4" s="1"/>
  <c r="H90" i="4"/>
  <c r="K90" i="4"/>
  <c r="L90" i="4" s="1"/>
  <c r="C91" i="4" s="1"/>
  <c r="C160" i="3"/>
  <c r="E160" i="3"/>
  <c r="J160" i="3"/>
  <c r="K160" i="3"/>
  <c r="B161" i="3" s="1"/>
  <c r="G160" i="3"/>
  <c r="F160" i="3"/>
  <c r="D160" i="3"/>
  <c r="L159" i="3"/>
  <c r="O159" i="3" s="1"/>
  <c r="P159" i="3" s="1"/>
  <c r="N91" i="4" l="1"/>
  <c r="J91" i="4"/>
  <c r="M90" i="4"/>
  <c r="P90" i="4" s="1"/>
  <c r="Q90" i="4" s="1"/>
  <c r="G91" i="4"/>
  <c r="D91" i="4"/>
  <c r="E91" i="4" s="1"/>
  <c r="N160" i="3"/>
  <c r="L160" i="3"/>
  <c r="C161" i="3"/>
  <c r="E161" i="3"/>
  <c r="J161" i="3" s="1"/>
  <c r="K161" i="3" s="1"/>
  <c r="B162" i="3" s="1"/>
  <c r="G161" i="3"/>
  <c r="F161" i="3"/>
  <c r="D161" i="3"/>
  <c r="N161" i="3" s="1"/>
  <c r="F91" i="4" l="1"/>
  <c r="K91" i="4" s="1"/>
  <c r="L91" i="4" s="1"/>
  <c r="O91" i="4"/>
  <c r="H91" i="4"/>
  <c r="E162" i="3"/>
  <c r="J162" i="3" s="1"/>
  <c r="K162" i="3" s="1"/>
  <c r="B163" i="3" s="1"/>
  <c r="C162" i="3"/>
  <c r="G162" i="3"/>
  <c r="F162" i="3"/>
  <c r="D162" i="3"/>
  <c r="N162" i="3" s="1"/>
  <c r="L161" i="3"/>
  <c r="O161" i="3" s="1"/>
  <c r="P161" i="3" s="1"/>
  <c r="O160" i="3"/>
  <c r="P160" i="3" s="1"/>
  <c r="M91" i="4" l="1"/>
  <c r="C92" i="4"/>
  <c r="E163" i="3"/>
  <c r="C163" i="3"/>
  <c r="K163" i="3" s="1"/>
  <c r="B164" i="3" s="1"/>
  <c r="J163" i="3"/>
  <c r="G163" i="3"/>
  <c r="F163" i="3"/>
  <c r="D163" i="3"/>
  <c r="N163" i="3" s="1"/>
  <c r="L162" i="3"/>
  <c r="O162" i="3" s="1"/>
  <c r="P162" i="3" s="1"/>
  <c r="N92" i="4" l="1"/>
  <c r="J92" i="4"/>
  <c r="P91" i="4"/>
  <c r="Q91" i="4" s="1"/>
  <c r="D92" i="4"/>
  <c r="E92" i="4" s="1"/>
  <c r="G92" i="4"/>
  <c r="C164" i="3"/>
  <c r="E164" i="3"/>
  <c r="J164" i="3" s="1"/>
  <c r="K164" i="3" s="1"/>
  <c r="B165" i="3" s="1"/>
  <c r="G164" i="3"/>
  <c r="F164" i="3"/>
  <c r="D164" i="3"/>
  <c r="L163" i="3"/>
  <c r="O163" i="3" s="1"/>
  <c r="P163" i="3" s="1"/>
  <c r="F92" i="4" l="1"/>
  <c r="O92" i="4"/>
  <c r="H92" i="4"/>
  <c r="K92" i="4"/>
  <c r="L92" i="4" s="1"/>
  <c r="C93" i="4" s="1"/>
  <c r="C165" i="3"/>
  <c r="E165" i="3"/>
  <c r="J165" i="3" s="1"/>
  <c r="K165" i="3" s="1"/>
  <c r="B166" i="3" s="1"/>
  <c r="F165" i="3"/>
  <c r="G165" i="3"/>
  <c r="D165" i="3"/>
  <c r="N165" i="3" s="1"/>
  <c r="L164" i="3"/>
  <c r="O164" i="3" s="1"/>
  <c r="P164" i="3" s="1"/>
  <c r="N164" i="3"/>
  <c r="N93" i="4" l="1"/>
  <c r="J93" i="4"/>
  <c r="M92" i="4"/>
  <c r="D93" i="4"/>
  <c r="E93" i="4" s="1"/>
  <c r="G93" i="4"/>
  <c r="C166" i="3"/>
  <c r="J166" i="3"/>
  <c r="K166" i="3" s="1"/>
  <c r="B167" i="3" s="1"/>
  <c r="E166" i="3"/>
  <c r="F166" i="3"/>
  <c r="G166" i="3"/>
  <c r="D166" i="3"/>
  <c r="N166" i="3" s="1"/>
  <c r="L165" i="3"/>
  <c r="O165" i="3" s="1"/>
  <c r="P165" i="3" s="1"/>
  <c r="F93" i="4" l="1"/>
  <c r="K93" i="4" s="1"/>
  <c r="L93" i="4" s="1"/>
  <c r="C94" i="4" s="1"/>
  <c r="O93" i="4"/>
  <c r="H93" i="4"/>
  <c r="P92" i="4"/>
  <c r="Q92" i="4" s="1"/>
  <c r="E167" i="3"/>
  <c r="J167" i="3" s="1"/>
  <c r="C167" i="3"/>
  <c r="F167" i="3"/>
  <c r="D167" i="3"/>
  <c r="N167" i="3" s="1"/>
  <c r="L166" i="3"/>
  <c r="O166" i="3" s="1"/>
  <c r="P166" i="3" s="1"/>
  <c r="J94" i="4" l="1"/>
  <c r="N94" i="4"/>
  <c r="M93" i="4"/>
  <c r="G94" i="4"/>
  <c r="D94" i="4"/>
  <c r="E94" i="4" s="1"/>
  <c r="K167" i="3"/>
  <c r="B168" i="3" s="1"/>
  <c r="G167" i="3"/>
  <c r="L167" i="3" s="1"/>
  <c r="O167" i="3" s="1"/>
  <c r="P167" i="3" s="1"/>
  <c r="F94" i="4" l="1"/>
  <c r="K94" i="4" s="1"/>
  <c r="L94" i="4" s="1"/>
  <c r="O94" i="4"/>
  <c r="H94" i="4"/>
  <c r="P93" i="4"/>
  <c r="Q93" i="4" s="1"/>
  <c r="C168" i="3"/>
  <c r="K168" i="3" s="1"/>
  <c r="B169" i="3" s="1"/>
  <c r="E168" i="3"/>
  <c r="J168" i="3" s="1"/>
  <c r="G168" i="3"/>
  <c r="F168" i="3"/>
  <c r="D168" i="3"/>
  <c r="N168" i="3" s="1"/>
  <c r="M94" i="4" l="1"/>
  <c r="C95" i="4"/>
  <c r="C169" i="3"/>
  <c r="E169" i="3"/>
  <c r="J169" i="3" s="1"/>
  <c r="K169" i="3" s="1"/>
  <c r="B170" i="3" s="1"/>
  <c r="G169" i="3"/>
  <c r="F169" i="3"/>
  <c r="D169" i="3"/>
  <c r="N169" i="3" s="1"/>
  <c r="L168" i="3"/>
  <c r="O168" i="3" s="1"/>
  <c r="P168" i="3" s="1"/>
  <c r="N95" i="4" l="1"/>
  <c r="J95" i="4"/>
  <c r="P94" i="4"/>
  <c r="Q94" i="4" s="1"/>
  <c r="G95" i="4"/>
  <c r="D95" i="4"/>
  <c r="E95" i="4" s="1"/>
  <c r="C170" i="3"/>
  <c r="E170" i="3"/>
  <c r="J170" i="3" s="1"/>
  <c r="F170" i="3"/>
  <c r="G170" i="3"/>
  <c r="D170" i="3"/>
  <c r="N170" i="3" s="1"/>
  <c r="L169" i="3"/>
  <c r="O169" i="3" s="1"/>
  <c r="P169" i="3" s="1"/>
  <c r="F95" i="4" l="1"/>
  <c r="O95" i="4"/>
  <c r="H95" i="4"/>
  <c r="K95" i="4"/>
  <c r="L95" i="4" s="1"/>
  <c r="K170" i="3"/>
  <c r="B171" i="3" s="1"/>
  <c r="L170" i="3"/>
  <c r="O170" i="3" s="1"/>
  <c r="P170" i="3" s="1"/>
  <c r="M95" i="4" l="1"/>
  <c r="C96" i="4"/>
  <c r="E171" i="3"/>
  <c r="J171" i="3" s="1"/>
  <c r="C171" i="3"/>
  <c r="K171" i="3" s="1"/>
  <c r="B172" i="3" s="1"/>
  <c r="F171" i="3"/>
  <c r="G171" i="3"/>
  <c r="D171" i="3"/>
  <c r="N171" i="3" s="1"/>
  <c r="N96" i="4" l="1"/>
  <c r="J96" i="4"/>
  <c r="P95" i="4"/>
  <c r="Q95" i="4" s="1"/>
  <c r="G96" i="4"/>
  <c r="D96" i="4"/>
  <c r="E96" i="4" s="1"/>
  <c r="C172" i="3"/>
  <c r="E172" i="3"/>
  <c r="J172" i="3" s="1"/>
  <c r="K172" i="3" s="1"/>
  <c r="B173" i="3" s="1"/>
  <c r="G172" i="3"/>
  <c r="F172" i="3"/>
  <c r="D172" i="3"/>
  <c r="N172" i="3" s="1"/>
  <c r="L171" i="3"/>
  <c r="O171" i="3" s="1"/>
  <c r="P171" i="3" s="1"/>
  <c r="F96" i="4" l="1"/>
  <c r="K96" i="4" s="1"/>
  <c r="L96" i="4" s="1"/>
  <c r="C97" i="4" s="1"/>
  <c r="O96" i="4"/>
  <c r="H96" i="4"/>
  <c r="K173" i="3"/>
  <c r="B174" i="3" s="1"/>
  <c r="C173" i="3"/>
  <c r="E173" i="3"/>
  <c r="J173" i="3"/>
  <c r="G173" i="3"/>
  <c r="F173" i="3"/>
  <c r="D173" i="3"/>
  <c r="N173" i="3" s="1"/>
  <c r="L172" i="3"/>
  <c r="O172" i="3" s="1"/>
  <c r="P172" i="3" s="1"/>
  <c r="N97" i="4" l="1"/>
  <c r="J97" i="4"/>
  <c r="M96" i="4"/>
  <c r="D97" i="4"/>
  <c r="E97" i="4" s="1"/>
  <c r="G97" i="4"/>
  <c r="L173" i="3"/>
  <c r="O173" i="3" s="1"/>
  <c r="P173" i="3" s="1"/>
  <c r="C174" i="3"/>
  <c r="E174" i="3"/>
  <c r="J174" i="3" s="1"/>
  <c r="K174" i="3" s="1"/>
  <c r="B175" i="3" s="1"/>
  <c r="F174" i="3"/>
  <c r="G174" i="3"/>
  <c r="D174" i="3"/>
  <c r="N174" i="3" s="1"/>
  <c r="F97" i="4" l="1"/>
  <c r="O97" i="4"/>
  <c r="P96" i="4"/>
  <c r="Q96" i="4" s="1"/>
  <c r="H97" i="4"/>
  <c r="K97" i="4"/>
  <c r="L97" i="4" s="1"/>
  <c r="C98" i="4" s="1"/>
  <c r="E175" i="3"/>
  <c r="J175" i="3" s="1"/>
  <c r="C175" i="3"/>
  <c r="F175" i="3"/>
  <c r="D175" i="3"/>
  <c r="N175" i="3" s="1"/>
  <c r="L174" i="3"/>
  <c r="O174" i="3" s="1"/>
  <c r="P174" i="3" s="1"/>
  <c r="N98" i="4" l="1"/>
  <c r="J98" i="4"/>
  <c r="M97" i="4"/>
  <c r="G98" i="4"/>
  <c r="D98" i="4"/>
  <c r="E98" i="4" s="1"/>
  <c r="K175" i="3"/>
  <c r="B176" i="3" s="1"/>
  <c r="G175" i="3"/>
  <c r="L175" i="3" s="1"/>
  <c r="O175" i="3" s="1"/>
  <c r="P175" i="3" s="1"/>
  <c r="F98" i="4" l="1"/>
  <c r="O98" i="4"/>
  <c r="P97" i="4"/>
  <c r="Q97" i="4" s="1"/>
  <c r="H98" i="4"/>
  <c r="K98" i="4"/>
  <c r="L98" i="4" s="1"/>
  <c r="C176" i="3"/>
  <c r="E176" i="3"/>
  <c r="J176" i="3" s="1"/>
  <c r="K176" i="3" s="1"/>
  <c r="B177" i="3" s="1"/>
  <c r="G176" i="3"/>
  <c r="F176" i="3"/>
  <c r="D176" i="3"/>
  <c r="N176" i="3" s="1"/>
  <c r="M98" i="4" l="1"/>
  <c r="C99" i="4"/>
  <c r="C177" i="3"/>
  <c r="E177" i="3"/>
  <c r="J177" i="3" s="1"/>
  <c r="F177" i="3"/>
  <c r="D177" i="3"/>
  <c r="N177" i="3" s="1"/>
  <c r="L176" i="3"/>
  <c r="O176" i="3" s="1"/>
  <c r="P176" i="3" s="1"/>
  <c r="N99" i="4" l="1"/>
  <c r="J99" i="4"/>
  <c r="P98" i="4"/>
  <c r="Q98" i="4" s="1"/>
  <c r="G99" i="4"/>
  <c r="D99" i="4"/>
  <c r="E99" i="4" s="1"/>
  <c r="K177" i="3"/>
  <c r="B178" i="3" s="1"/>
  <c r="G177" i="3"/>
  <c r="L177" i="3" s="1"/>
  <c r="O177" i="3" s="1"/>
  <c r="P177" i="3" s="1"/>
  <c r="F99" i="4" l="1"/>
  <c r="K99" i="4" s="1"/>
  <c r="L99" i="4" s="1"/>
  <c r="O99" i="4"/>
  <c r="H99" i="4"/>
  <c r="J178" i="3"/>
  <c r="E178" i="3"/>
  <c r="C178" i="3"/>
  <c r="K178" i="3" s="1"/>
  <c r="B179" i="3" s="1"/>
  <c r="G178" i="3"/>
  <c r="F178" i="3"/>
  <c r="D178" i="3"/>
  <c r="N178" i="3" s="1"/>
  <c r="M99" i="4" l="1"/>
  <c r="C100" i="4"/>
  <c r="E179" i="3"/>
  <c r="J179" i="3" s="1"/>
  <c r="K179" i="3" s="1"/>
  <c r="B180" i="3" s="1"/>
  <c r="C179" i="3"/>
  <c r="F179" i="3"/>
  <c r="D179" i="3"/>
  <c r="N179" i="3" s="1"/>
  <c r="G179" i="3"/>
  <c r="L178" i="3"/>
  <c r="O178" i="3" s="1"/>
  <c r="P178" i="3" s="1"/>
  <c r="N100" i="4" l="1"/>
  <c r="J100" i="4"/>
  <c r="P99" i="4"/>
  <c r="Q99" i="4" s="1"/>
  <c r="G100" i="4"/>
  <c r="D100" i="4"/>
  <c r="E100" i="4" s="1"/>
  <c r="C180" i="3"/>
  <c r="E180" i="3"/>
  <c r="J180" i="3" s="1"/>
  <c r="K180" i="3" s="1"/>
  <c r="B181" i="3" s="1"/>
  <c r="F180" i="3"/>
  <c r="D180" i="3"/>
  <c r="N180" i="3" s="1"/>
  <c r="G180" i="3"/>
  <c r="L180" i="3" s="1"/>
  <c r="O180" i="3" s="1"/>
  <c r="P180" i="3" s="1"/>
  <c r="L179" i="3"/>
  <c r="O179" i="3" s="1"/>
  <c r="P179" i="3" s="1"/>
  <c r="F100" i="4" l="1"/>
  <c r="O100" i="4"/>
  <c r="H100" i="4"/>
  <c r="K100" i="4"/>
  <c r="L100" i="4" s="1"/>
  <c r="C181" i="3"/>
  <c r="E181" i="3"/>
  <c r="J181" i="3" s="1"/>
  <c r="K181" i="3" s="1"/>
  <c r="B182" i="3" s="1"/>
  <c r="G181" i="3"/>
  <c r="F181" i="3"/>
  <c r="D181" i="3"/>
  <c r="N181" i="3" s="1"/>
  <c r="M100" i="4" l="1"/>
  <c r="C101" i="4"/>
  <c r="C182" i="3"/>
  <c r="E182" i="3"/>
  <c r="J182" i="3" s="1"/>
  <c r="K182" i="3" s="1"/>
  <c r="B183" i="3" s="1"/>
  <c r="G182" i="3"/>
  <c r="F182" i="3"/>
  <c r="D182" i="3"/>
  <c r="N182" i="3" s="1"/>
  <c r="L181" i="3"/>
  <c r="O181" i="3" s="1"/>
  <c r="P181" i="3" s="1"/>
  <c r="N101" i="4" l="1"/>
  <c r="J101" i="4"/>
  <c r="P100" i="4"/>
  <c r="Q100" i="4" s="1"/>
  <c r="G101" i="4"/>
  <c r="D101" i="4"/>
  <c r="E101" i="4" s="1"/>
  <c r="E183" i="3"/>
  <c r="J183" i="3" s="1"/>
  <c r="C183" i="3"/>
  <c r="K183" i="3" s="1"/>
  <c r="B184" i="3" s="1"/>
  <c r="G183" i="3"/>
  <c r="F183" i="3"/>
  <c r="D183" i="3"/>
  <c r="N183" i="3" s="1"/>
  <c r="L182" i="3"/>
  <c r="O182" i="3" s="1"/>
  <c r="P182" i="3" s="1"/>
  <c r="F101" i="4" l="1"/>
  <c r="K101" i="4" s="1"/>
  <c r="L101" i="4" s="1"/>
  <c r="O101" i="4"/>
  <c r="H101" i="4"/>
  <c r="C184" i="3"/>
  <c r="E184" i="3"/>
  <c r="J184" i="3" s="1"/>
  <c r="F184" i="3"/>
  <c r="D184" i="3"/>
  <c r="N184" i="3" s="1"/>
  <c r="G184" i="3"/>
  <c r="L183" i="3"/>
  <c r="O183" i="3" s="1"/>
  <c r="P183" i="3" s="1"/>
  <c r="M101" i="4" l="1"/>
  <c r="C102" i="4"/>
  <c r="K184" i="3"/>
  <c r="B185" i="3" s="1"/>
  <c r="L184" i="3"/>
  <c r="O184" i="3" s="1"/>
  <c r="P184" i="3" s="1"/>
  <c r="N102" i="4" l="1"/>
  <c r="J102" i="4"/>
  <c r="P101" i="4"/>
  <c r="Q101" i="4" s="1"/>
  <c r="G102" i="4"/>
  <c r="D102" i="4"/>
  <c r="E102" i="4" s="1"/>
  <c r="C185" i="3"/>
  <c r="E185" i="3"/>
  <c r="J185" i="3" s="1"/>
  <c r="K185" i="3" s="1"/>
  <c r="B186" i="3" s="1"/>
  <c r="G185" i="3"/>
  <c r="F185" i="3"/>
  <c r="D185" i="3"/>
  <c r="N185" i="3" s="1"/>
  <c r="F102" i="4" l="1"/>
  <c r="K102" i="4" s="1"/>
  <c r="L102" i="4" s="1"/>
  <c r="C103" i="4" s="1"/>
  <c r="O102" i="4"/>
  <c r="H102" i="4"/>
  <c r="C186" i="3"/>
  <c r="E186" i="3"/>
  <c r="J186" i="3" s="1"/>
  <c r="G186" i="3"/>
  <c r="F186" i="3"/>
  <c r="D186" i="3"/>
  <c r="N186" i="3" s="1"/>
  <c r="L185" i="3"/>
  <c r="O185" i="3" s="1"/>
  <c r="P185" i="3" s="1"/>
  <c r="N103" i="4" l="1"/>
  <c r="J103" i="4"/>
  <c r="M102" i="4"/>
  <c r="G103" i="4"/>
  <c r="D103" i="4"/>
  <c r="E103" i="4" s="1"/>
  <c r="K186" i="3"/>
  <c r="B187" i="3" s="1"/>
  <c r="L186" i="3"/>
  <c r="O186" i="3" s="1"/>
  <c r="P186" i="3" s="1"/>
  <c r="F103" i="4" l="1"/>
  <c r="K103" i="4" s="1"/>
  <c r="L103" i="4" s="1"/>
  <c r="O103" i="4"/>
  <c r="P102" i="4"/>
  <c r="Q102" i="4" s="1"/>
  <c r="H103" i="4"/>
  <c r="E187" i="3"/>
  <c r="J187" i="3" s="1"/>
  <c r="K187" i="3" s="1"/>
  <c r="B188" i="3" s="1"/>
  <c r="C187" i="3"/>
  <c r="G187" i="3"/>
  <c r="F187" i="3"/>
  <c r="D187" i="3"/>
  <c r="N187" i="3" s="1"/>
  <c r="M103" i="4" l="1"/>
  <c r="C104" i="4"/>
  <c r="C188" i="3"/>
  <c r="E188" i="3"/>
  <c r="J188" i="3" s="1"/>
  <c r="K188" i="3" s="1"/>
  <c r="B189" i="3" s="1"/>
  <c r="F188" i="3"/>
  <c r="D188" i="3"/>
  <c r="N188" i="3" s="1"/>
  <c r="G188" i="3"/>
  <c r="L187" i="3"/>
  <c r="O187" i="3" s="1"/>
  <c r="P187" i="3" s="1"/>
  <c r="N104" i="4" l="1"/>
  <c r="J104" i="4"/>
  <c r="P103" i="4"/>
  <c r="Q103" i="4" s="1"/>
  <c r="D104" i="4"/>
  <c r="E104" i="4" s="1"/>
  <c r="G104" i="4"/>
  <c r="C189" i="3"/>
  <c r="E189" i="3"/>
  <c r="J189" i="3" s="1"/>
  <c r="G189" i="3"/>
  <c r="F189" i="3"/>
  <c r="D189" i="3"/>
  <c r="N189" i="3" s="1"/>
  <c r="L188" i="3"/>
  <c r="O188" i="3" s="1"/>
  <c r="P188" i="3" s="1"/>
  <c r="F104" i="4" l="1"/>
  <c r="K104" i="4" s="1"/>
  <c r="L104" i="4" s="1"/>
  <c r="O104" i="4"/>
  <c r="H104" i="4"/>
  <c r="K189" i="3"/>
  <c r="B190" i="3" s="1"/>
  <c r="L189" i="3"/>
  <c r="O189" i="3" s="1"/>
  <c r="P189" i="3" s="1"/>
  <c r="M104" i="4" l="1"/>
  <c r="C105" i="4"/>
  <c r="C190" i="3"/>
  <c r="E190" i="3"/>
  <c r="J190" i="3" s="1"/>
  <c r="K190" i="3" s="1"/>
  <c r="B191" i="3" s="1"/>
  <c r="G190" i="3"/>
  <c r="F190" i="3"/>
  <c r="D190" i="3"/>
  <c r="N190" i="3" s="1"/>
  <c r="N105" i="4" l="1"/>
  <c r="J105" i="4"/>
  <c r="P104" i="4"/>
  <c r="Q104" i="4" s="1"/>
  <c r="G105" i="4"/>
  <c r="D105" i="4"/>
  <c r="E105" i="4" s="1"/>
  <c r="E191" i="3"/>
  <c r="J191" i="3" s="1"/>
  <c r="C191" i="3"/>
  <c r="K191" i="3" s="1"/>
  <c r="B192" i="3" s="1"/>
  <c r="G191" i="3"/>
  <c r="F191" i="3"/>
  <c r="D191" i="3"/>
  <c r="N191" i="3" s="1"/>
  <c r="L190" i="3"/>
  <c r="O190" i="3" s="1"/>
  <c r="P190" i="3" s="1"/>
  <c r="F105" i="4" l="1"/>
  <c r="K105" i="4" s="1"/>
  <c r="L105" i="4" s="1"/>
  <c r="O105" i="4"/>
  <c r="H105" i="4"/>
  <c r="C192" i="3"/>
  <c r="E192" i="3"/>
  <c r="J192" i="3" s="1"/>
  <c r="K192" i="3" s="1"/>
  <c r="B193" i="3" s="1"/>
  <c r="G192" i="3"/>
  <c r="F192" i="3"/>
  <c r="D192" i="3"/>
  <c r="N192" i="3" s="1"/>
  <c r="L191" i="3"/>
  <c r="O191" i="3" s="1"/>
  <c r="P191" i="3" s="1"/>
  <c r="M105" i="4" l="1"/>
  <c r="C106" i="4"/>
  <c r="C193" i="3"/>
  <c r="K193" i="3" s="1"/>
  <c r="B194" i="3" s="1"/>
  <c r="E193" i="3"/>
  <c r="J193" i="3" s="1"/>
  <c r="F193" i="3"/>
  <c r="D193" i="3"/>
  <c r="N193" i="3" s="1"/>
  <c r="L192" i="3"/>
  <c r="O192" i="3" s="1"/>
  <c r="P192" i="3" s="1"/>
  <c r="N106" i="4" l="1"/>
  <c r="J106" i="4"/>
  <c r="P105" i="4"/>
  <c r="Q105" i="4" s="1"/>
  <c r="D106" i="4"/>
  <c r="E106" i="4" s="1"/>
  <c r="G106" i="4"/>
  <c r="E194" i="3"/>
  <c r="J194" i="3" s="1"/>
  <c r="C194" i="3"/>
  <c r="F194" i="3"/>
  <c r="G194" i="3"/>
  <c r="D194" i="3"/>
  <c r="N194" i="3" s="1"/>
  <c r="G193" i="3"/>
  <c r="L193" i="3" s="1"/>
  <c r="O193" i="3" s="1"/>
  <c r="P193" i="3" s="1"/>
  <c r="F106" i="4" l="1"/>
  <c r="K106" i="4" s="1"/>
  <c r="L106" i="4" s="1"/>
  <c r="C107" i="4" s="1"/>
  <c r="O106" i="4"/>
  <c r="H106" i="4"/>
  <c r="K194" i="3"/>
  <c r="B195" i="3" s="1"/>
  <c r="L194" i="3"/>
  <c r="O194" i="3" s="1"/>
  <c r="P194" i="3" s="1"/>
  <c r="N107" i="4" l="1"/>
  <c r="J107" i="4"/>
  <c r="M106" i="4"/>
  <c r="G107" i="4"/>
  <c r="D107" i="4"/>
  <c r="E107" i="4" s="1"/>
  <c r="E195" i="3"/>
  <c r="J195" i="3" s="1"/>
  <c r="K195" i="3" s="1"/>
  <c r="B196" i="3" s="1"/>
  <c r="C195" i="3"/>
  <c r="D195" i="3"/>
  <c r="N195" i="3" s="1"/>
  <c r="G195" i="3"/>
  <c r="F195" i="3"/>
  <c r="F107" i="4" l="1"/>
  <c r="K107" i="4" s="1"/>
  <c r="L107" i="4" s="1"/>
  <c r="O107" i="4"/>
  <c r="H107" i="4"/>
  <c r="P106" i="4"/>
  <c r="Q106" i="4" s="1"/>
  <c r="C196" i="3"/>
  <c r="E196" i="3"/>
  <c r="J196" i="3" s="1"/>
  <c r="F196" i="3"/>
  <c r="D196" i="3"/>
  <c r="N196" i="3" s="1"/>
  <c r="L195" i="3"/>
  <c r="O195" i="3" s="1"/>
  <c r="P195" i="3" s="1"/>
  <c r="M107" i="4" l="1"/>
  <c r="C108" i="4"/>
  <c r="K196" i="3"/>
  <c r="B197" i="3" s="1"/>
  <c r="G196" i="3"/>
  <c r="L196" i="3" s="1"/>
  <c r="O196" i="3" s="1"/>
  <c r="P196" i="3" s="1"/>
  <c r="N108" i="4" l="1"/>
  <c r="J108" i="4"/>
  <c r="P107" i="4"/>
  <c r="Q107" i="4" s="1"/>
  <c r="G108" i="4"/>
  <c r="D108" i="4"/>
  <c r="E108" i="4" s="1"/>
  <c r="C197" i="3"/>
  <c r="E197" i="3"/>
  <c r="J197" i="3" s="1"/>
  <c r="F197" i="3"/>
  <c r="D197" i="3"/>
  <c r="N197" i="3" s="1"/>
  <c r="G197" i="3"/>
  <c r="L197" i="3" s="1"/>
  <c r="O197" i="3" s="1"/>
  <c r="P197" i="3" s="1"/>
  <c r="F108" i="4" l="1"/>
  <c r="K108" i="4" s="1"/>
  <c r="L108" i="4" s="1"/>
  <c r="O108" i="4"/>
  <c r="H108" i="4"/>
  <c r="K197" i="3"/>
  <c r="B198" i="3" s="1"/>
  <c r="M108" i="4" l="1"/>
  <c r="C109" i="4"/>
  <c r="C198" i="3"/>
  <c r="E198" i="3"/>
  <c r="J198" i="3" s="1"/>
  <c r="F198" i="3"/>
  <c r="D198" i="3"/>
  <c r="N198" i="3" s="1"/>
  <c r="N109" i="4" l="1"/>
  <c r="J109" i="4"/>
  <c r="P108" i="4"/>
  <c r="Q108" i="4" s="1"/>
  <c r="G109" i="4"/>
  <c r="D109" i="4"/>
  <c r="E109" i="4" s="1"/>
  <c r="K198" i="3"/>
  <c r="B199" i="3" s="1"/>
  <c r="G198" i="3"/>
  <c r="L198" i="3" s="1"/>
  <c r="O198" i="3" s="1"/>
  <c r="P198" i="3" s="1"/>
  <c r="F109" i="4" l="1"/>
  <c r="K109" i="4" s="1"/>
  <c r="L109" i="4" s="1"/>
  <c r="O109" i="4"/>
  <c r="H109" i="4"/>
  <c r="E199" i="3"/>
  <c r="J199" i="3" s="1"/>
  <c r="C199" i="3"/>
  <c r="K199" i="3" s="1"/>
  <c r="B200" i="3" s="1"/>
  <c r="F199" i="3"/>
  <c r="D199" i="3"/>
  <c r="N199" i="3" s="1"/>
  <c r="G199" i="3"/>
  <c r="M109" i="4" l="1"/>
  <c r="C110" i="4"/>
  <c r="C200" i="3"/>
  <c r="E200" i="3"/>
  <c r="J200" i="3" s="1"/>
  <c r="G200" i="3"/>
  <c r="F200" i="3"/>
  <c r="D200" i="3"/>
  <c r="N200" i="3" s="1"/>
  <c r="L199" i="3"/>
  <c r="O199" i="3" s="1"/>
  <c r="P199" i="3" s="1"/>
  <c r="J110" i="4" l="1"/>
  <c r="N110" i="4"/>
  <c r="P109" i="4"/>
  <c r="Q109" i="4" s="1"/>
  <c r="D110" i="4"/>
  <c r="E110" i="4" s="1"/>
  <c r="G110" i="4"/>
  <c r="K200" i="3"/>
  <c r="B201" i="3" s="1"/>
  <c r="L200" i="3"/>
  <c r="O200" i="3" s="1"/>
  <c r="P200" i="3" s="1"/>
  <c r="F110" i="4" l="1"/>
  <c r="O110" i="4"/>
  <c r="H110" i="4"/>
  <c r="K110" i="4"/>
  <c r="L110" i="4" s="1"/>
  <c r="C201" i="3"/>
  <c r="E201" i="3"/>
  <c r="J201" i="3" s="1"/>
  <c r="K201" i="3" s="1"/>
  <c r="B202" i="3" s="1"/>
  <c r="F201" i="3"/>
  <c r="D201" i="3"/>
  <c r="N201" i="3" s="1"/>
  <c r="G201" i="3"/>
  <c r="M110" i="4" l="1"/>
  <c r="C111" i="4"/>
  <c r="C202" i="3"/>
  <c r="E202" i="3"/>
  <c r="J202" i="3" s="1"/>
  <c r="K202" i="3" s="1"/>
  <c r="B203" i="3" s="1"/>
  <c r="F202" i="3"/>
  <c r="G202" i="3"/>
  <c r="D202" i="3"/>
  <c r="N202" i="3" s="1"/>
  <c r="L201" i="3"/>
  <c r="O201" i="3" s="1"/>
  <c r="P201" i="3" s="1"/>
  <c r="N111" i="4" l="1"/>
  <c r="J111" i="4"/>
  <c r="P110" i="4"/>
  <c r="Q110" i="4" s="1"/>
  <c r="G111" i="4"/>
  <c r="D111" i="4"/>
  <c r="E111" i="4" s="1"/>
  <c r="E203" i="3"/>
  <c r="J203" i="3" s="1"/>
  <c r="K203" i="3" s="1"/>
  <c r="B204" i="3" s="1"/>
  <c r="C203" i="3"/>
  <c r="G203" i="3"/>
  <c r="F203" i="3"/>
  <c r="D203" i="3"/>
  <c r="N203" i="3" s="1"/>
  <c r="L202" i="3"/>
  <c r="O202" i="3" s="1"/>
  <c r="P202" i="3" s="1"/>
  <c r="F111" i="4" l="1"/>
  <c r="K111" i="4" s="1"/>
  <c r="L111" i="4" s="1"/>
  <c r="O111" i="4"/>
  <c r="H111" i="4"/>
  <c r="C204" i="3"/>
  <c r="E204" i="3"/>
  <c r="J204" i="3" s="1"/>
  <c r="K204" i="3" s="1"/>
  <c r="B205" i="3" s="1"/>
  <c r="G204" i="3"/>
  <c r="F204" i="3"/>
  <c r="D204" i="3"/>
  <c r="N204" i="3" s="1"/>
  <c r="L203" i="3"/>
  <c r="O203" i="3" s="1"/>
  <c r="P203" i="3" s="1"/>
  <c r="M111" i="4" l="1"/>
  <c r="C112" i="4"/>
  <c r="C205" i="3"/>
  <c r="E205" i="3"/>
  <c r="J205" i="3" s="1"/>
  <c r="G205" i="3"/>
  <c r="F205" i="3"/>
  <c r="D205" i="3"/>
  <c r="N205" i="3" s="1"/>
  <c r="L204" i="3"/>
  <c r="O204" i="3" s="1"/>
  <c r="P204" i="3" s="1"/>
  <c r="N112" i="4" l="1"/>
  <c r="J112" i="4"/>
  <c r="P111" i="4"/>
  <c r="Q111" i="4" s="1"/>
  <c r="G112" i="4"/>
  <c r="D112" i="4"/>
  <c r="E112" i="4" s="1"/>
  <c r="K205" i="3"/>
  <c r="B206" i="3" s="1"/>
  <c r="L205" i="3"/>
  <c r="O205" i="3" s="1"/>
  <c r="P205" i="3" s="1"/>
  <c r="F112" i="4" l="1"/>
  <c r="O112" i="4"/>
  <c r="H112" i="4"/>
  <c r="C206" i="3"/>
  <c r="E206" i="3"/>
  <c r="J206" i="3" s="1"/>
  <c r="F206" i="3"/>
  <c r="D206" i="3"/>
  <c r="N206" i="3" s="1"/>
  <c r="G206" i="3"/>
  <c r="L206" i="3" s="1"/>
  <c r="O206" i="3" s="1"/>
  <c r="P206" i="3" s="1"/>
  <c r="K112" i="4" l="1"/>
  <c r="L112" i="4" s="1"/>
  <c r="C113" i="4" s="1"/>
  <c r="K206" i="3"/>
  <c r="B207" i="3" s="1"/>
  <c r="N113" i="4" l="1"/>
  <c r="J113" i="4"/>
  <c r="D113" i="4"/>
  <c r="E113" i="4" s="1"/>
  <c r="G113" i="4"/>
  <c r="M112" i="4"/>
  <c r="P112" i="4" s="1"/>
  <c r="Q112" i="4" s="1"/>
  <c r="E207" i="3"/>
  <c r="J207" i="3" s="1"/>
  <c r="C207" i="3"/>
  <c r="F207" i="3"/>
  <c r="G207" i="3"/>
  <c r="D207" i="3"/>
  <c r="N207" i="3" s="1"/>
  <c r="O113" i="4" l="1"/>
  <c r="H113" i="4"/>
  <c r="F113" i="4"/>
  <c r="K113" i="4" s="1"/>
  <c r="L113" i="4" s="1"/>
  <c r="C114" i="4" s="1"/>
  <c r="K207" i="3"/>
  <c r="B208" i="3" s="1"/>
  <c r="L207" i="3"/>
  <c r="O207" i="3" s="1"/>
  <c r="P207" i="3" s="1"/>
  <c r="N114" i="4" l="1"/>
  <c r="J114" i="4"/>
  <c r="G114" i="4"/>
  <c r="D114" i="4"/>
  <c r="E114" i="4" s="1"/>
  <c r="M113" i="4"/>
  <c r="P113" i="4" s="1"/>
  <c r="Q113" i="4" s="1"/>
  <c r="C208" i="3"/>
  <c r="E208" i="3"/>
  <c r="J208" i="3" s="1"/>
  <c r="K208" i="3" s="1"/>
  <c r="B209" i="3" s="1"/>
  <c r="G208" i="3"/>
  <c r="F208" i="3"/>
  <c r="D208" i="3"/>
  <c r="N208" i="3" s="1"/>
  <c r="F114" i="4" l="1"/>
  <c r="K114" i="4" s="1"/>
  <c r="L114" i="4" s="1"/>
  <c r="C115" i="4" s="1"/>
  <c r="O114" i="4"/>
  <c r="H114" i="4"/>
  <c r="C209" i="3"/>
  <c r="E209" i="3"/>
  <c r="J209" i="3"/>
  <c r="K209" i="3" s="1"/>
  <c r="B210" i="3" s="1"/>
  <c r="G209" i="3"/>
  <c r="F209" i="3"/>
  <c r="D209" i="3"/>
  <c r="N209" i="3" s="1"/>
  <c r="L208" i="3"/>
  <c r="O208" i="3" s="1"/>
  <c r="P208" i="3" s="1"/>
  <c r="M114" i="4" l="1"/>
  <c r="P114" i="4" s="1"/>
  <c r="Q114" i="4" s="1"/>
  <c r="N115" i="4"/>
  <c r="J115" i="4"/>
  <c r="D115" i="4"/>
  <c r="E115" i="4" s="1"/>
  <c r="G115" i="4"/>
  <c r="E210" i="3"/>
  <c r="J210" i="3" s="1"/>
  <c r="C210" i="3"/>
  <c r="F210" i="3"/>
  <c r="D210" i="3"/>
  <c r="N210" i="3" s="1"/>
  <c r="G210" i="3"/>
  <c r="L209" i="3"/>
  <c r="O209" i="3" s="1"/>
  <c r="P209" i="3" s="1"/>
  <c r="F115" i="4" l="1"/>
  <c r="K115" i="4" s="1"/>
  <c r="L115" i="4" s="1"/>
  <c r="C116" i="4" s="1"/>
  <c r="O115" i="4"/>
  <c r="H115" i="4"/>
  <c r="K210" i="3"/>
  <c r="B211" i="3" s="1"/>
  <c r="L210" i="3"/>
  <c r="O210" i="3" s="1"/>
  <c r="P210" i="3" s="1"/>
  <c r="N116" i="4" l="1"/>
  <c r="J116" i="4"/>
  <c r="M115" i="4"/>
  <c r="G116" i="4"/>
  <c r="D116" i="4"/>
  <c r="E116" i="4" s="1"/>
  <c r="E211" i="3"/>
  <c r="J211" i="3" s="1"/>
  <c r="C211" i="3"/>
  <c r="F211" i="3"/>
  <c r="G211" i="3"/>
  <c r="D211" i="3"/>
  <c r="N211" i="3" s="1"/>
  <c r="F116" i="4" l="1"/>
  <c r="K116" i="4" s="1"/>
  <c r="L116" i="4" s="1"/>
  <c r="C117" i="4" s="1"/>
  <c r="O116" i="4"/>
  <c r="P115" i="4"/>
  <c r="Q115" i="4" s="1"/>
  <c r="H116" i="4"/>
  <c r="K211" i="3"/>
  <c r="B212" i="3" s="1"/>
  <c r="L211" i="3"/>
  <c r="O211" i="3" s="1"/>
  <c r="P211" i="3" s="1"/>
  <c r="N117" i="4" l="1"/>
  <c r="J117" i="4"/>
  <c r="M116" i="4"/>
  <c r="D117" i="4"/>
  <c r="E117" i="4" s="1"/>
  <c r="G117" i="4"/>
  <c r="C212" i="3"/>
  <c r="K212" i="3" s="1"/>
  <c r="B213" i="3" s="1"/>
  <c r="E212" i="3"/>
  <c r="J212" i="3"/>
  <c r="D212" i="3"/>
  <c r="N212" i="3" s="1"/>
  <c r="G212" i="3"/>
  <c r="L212" i="3" s="1"/>
  <c r="O212" i="3" s="1"/>
  <c r="P212" i="3" s="1"/>
  <c r="F212" i="3"/>
  <c r="F117" i="4" l="1"/>
  <c r="O117" i="4"/>
  <c r="P116" i="4"/>
  <c r="Q116" i="4" s="1"/>
  <c r="H117" i="4"/>
  <c r="K117" i="4"/>
  <c r="L117" i="4" s="1"/>
  <c r="C213" i="3"/>
  <c r="E213" i="3"/>
  <c r="J213" i="3" s="1"/>
  <c r="G213" i="3"/>
  <c r="F213" i="3"/>
  <c r="D213" i="3"/>
  <c r="N213" i="3" s="1"/>
  <c r="M117" i="4" l="1"/>
  <c r="C118" i="4"/>
  <c r="K213" i="3"/>
  <c r="B214" i="3" s="1"/>
  <c r="L213" i="3"/>
  <c r="O213" i="3" s="1"/>
  <c r="P213" i="3" s="1"/>
  <c r="N118" i="4" l="1"/>
  <c r="J118" i="4"/>
  <c r="P117" i="4"/>
  <c r="Q117" i="4" s="1"/>
  <c r="G118" i="4"/>
  <c r="D118" i="4"/>
  <c r="E118" i="4" s="1"/>
  <c r="C214" i="3"/>
  <c r="G214" i="3" s="1"/>
  <c r="L214" i="3" s="1"/>
  <c r="O214" i="3" s="1"/>
  <c r="P214" i="3" s="1"/>
  <c r="E214" i="3"/>
  <c r="J214" i="3" s="1"/>
  <c r="F214" i="3"/>
  <c r="D214" i="3"/>
  <c r="N214" i="3" s="1"/>
  <c r="F118" i="4" l="1"/>
  <c r="K118" i="4" s="1"/>
  <c r="L118" i="4" s="1"/>
  <c r="O118" i="4"/>
  <c r="H118" i="4"/>
  <c r="K214" i="3"/>
  <c r="B215" i="3" s="1"/>
  <c r="M118" i="4" l="1"/>
  <c r="C119" i="4"/>
  <c r="E215" i="3"/>
  <c r="J215" i="3" s="1"/>
  <c r="K215" i="3" s="1"/>
  <c r="B216" i="3" s="1"/>
  <c r="C215" i="3"/>
  <c r="F215" i="3"/>
  <c r="G215" i="3"/>
  <c r="D215" i="3"/>
  <c r="N215" i="3" s="1"/>
  <c r="N119" i="4" l="1"/>
  <c r="J119" i="4"/>
  <c r="P118" i="4"/>
  <c r="Q118" i="4" s="1"/>
  <c r="G119" i="4"/>
  <c r="D119" i="4"/>
  <c r="E119" i="4" s="1"/>
  <c r="C216" i="3"/>
  <c r="K216" i="3" s="1"/>
  <c r="B217" i="3" s="1"/>
  <c r="E216" i="3"/>
  <c r="J216" i="3"/>
  <c r="F216" i="3"/>
  <c r="D216" i="3"/>
  <c r="N216" i="3" s="1"/>
  <c r="L215" i="3"/>
  <c r="O215" i="3" s="1"/>
  <c r="P215" i="3" s="1"/>
  <c r="F119" i="4" l="1"/>
  <c r="K119" i="4" s="1"/>
  <c r="L119" i="4" s="1"/>
  <c r="O119" i="4"/>
  <c r="H119" i="4"/>
  <c r="C217" i="3"/>
  <c r="E217" i="3"/>
  <c r="J217" i="3" s="1"/>
  <c r="G217" i="3"/>
  <c r="F217" i="3"/>
  <c r="D217" i="3"/>
  <c r="N217" i="3" s="1"/>
  <c r="G216" i="3"/>
  <c r="L216" i="3" s="1"/>
  <c r="O216" i="3" s="1"/>
  <c r="P216" i="3" s="1"/>
  <c r="M119" i="4" l="1"/>
  <c r="P119" i="4" s="1"/>
  <c r="Q119" i="4" s="1"/>
  <c r="C120" i="4"/>
  <c r="K217" i="3"/>
  <c r="B218" i="3" s="1"/>
  <c r="L217" i="3"/>
  <c r="O217" i="3" s="1"/>
  <c r="P217" i="3" s="1"/>
  <c r="N120" i="4" l="1"/>
  <c r="J120" i="4"/>
  <c r="D120" i="4"/>
  <c r="E120" i="4" s="1"/>
  <c r="G120" i="4"/>
  <c r="C218" i="3"/>
  <c r="E218" i="3"/>
  <c r="J218" i="3" s="1"/>
  <c r="G218" i="3"/>
  <c r="F218" i="3"/>
  <c r="D218" i="3"/>
  <c r="N218" i="3" s="1"/>
  <c r="F120" i="4" l="1"/>
  <c r="O120" i="4"/>
  <c r="H120" i="4"/>
  <c r="K120" i="4"/>
  <c r="L120" i="4" s="1"/>
  <c r="K218" i="3"/>
  <c r="B219" i="3" s="1"/>
  <c r="L218" i="3"/>
  <c r="O218" i="3" s="1"/>
  <c r="P218" i="3" s="1"/>
  <c r="M120" i="4" l="1"/>
  <c r="C121" i="4"/>
  <c r="E219" i="3"/>
  <c r="J219" i="3" s="1"/>
  <c r="K219" i="3" s="1"/>
  <c r="B220" i="3" s="1"/>
  <c r="C219" i="3"/>
  <c r="F219" i="3"/>
  <c r="D219" i="3"/>
  <c r="N219" i="3" s="1"/>
  <c r="G219" i="3"/>
  <c r="N121" i="4" l="1"/>
  <c r="J121" i="4"/>
  <c r="P120" i="4"/>
  <c r="Q120" i="4" s="1"/>
  <c r="G121" i="4"/>
  <c r="D121" i="4"/>
  <c r="E121" i="4" s="1"/>
  <c r="C220" i="3"/>
  <c r="E220" i="3"/>
  <c r="J220" i="3" s="1"/>
  <c r="K220" i="3" s="1"/>
  <c r="B221" i="3" s="1"/>
  <c r="F220" i="3"/>
  <c r="G220" i="3"/>
  <c r="L220" i="3" s="1"/>
  <c r="O220" i="3" s="1"/>
  <c r="P220" i="3" s="1"/>
  <c r="D220" i="3"/>
  <c r="N220" i="3" s="1"/>
  <c r="L219" i="3"/>
  <c r="O219" i="3" s="1"/>
  <c r="P219" i="3" s="1"/>
  <c r="F121" i="4" l="1"/>
  <c r="K121" i="4" s="1"/>
  <c r="L121" i="4" s="1"/>
  <c r="C122" i="4" s="1"/>
  <c r="O121" i="4"/>
  <c r="H121" i="4"/>
  <c r="C221" i="3"/>
  <c r="E221" i="3"/>
  <c r="J221" i="3" s="1"/>
  <c r="G221" i="3"/>
  <c r="F221" i="3"/>
  <c r="D221" i="3"/>
  <c r="N221" i="3" s="1"/>
  <c r="N122" i="4" l="1"/>
  <c r="J122" i="4"/>
  <c r="M121" i="4"/>
  <c r="D122" i="4"/>
  <c r="E122" i="4" s="1"/>
  <c r="G122" i="4"/>
  <c r="K221" i="3"/>
  <c r="B222" i="3" s="1"/>
  <c r="L221" i="3"/>
  <c r="O221" i="3" s="1"/>
  <c r="P221" i="3" s="1"/>
  <c r="F122" i="4" l="1"/>
  <c r="O122" i="4"/>
  <c r="P121" i="4"/>
  <c r="Q121" i="4" s="1"/>
  <c r="H122" i="4"/>
  <c r="K122" i="4"/>
  <c r="L122" i="4" s="1"/>
  <c r="C123" i="4" s="1"/>
  <c r="C222" i="3"/>
  <c r="E222" i="3"/>
  <c r="J222" i="3" s="1"/>
  <c r="K222" i="3" s="1"/>
  <c r="B223" i="3" s="1"/>
  <c r="G222" i="3"/>
  <c r="F222" i="3"/>
  <c r="D222" i="3"/>
  <c r="N123" i="4" l="1"/>
  <c r="J123" i="4"/>
  <c r="M122" i="4"/>
  <c r="G123" i="4"/>
  <c r="D123" i="4"/>
  <c r="E123" i="4" s="1"/>
  <c r="E223" i="3"/>
  <c r="J223" i="3" s="1"/>
  <c r="C223" i="3"/>
  <c r="K223" i="3" s="1"/>
  <c r="B224" i="3" s="1"/>
  <c r="F223" i="3"/>
  <c r="D223" i="3"/>
  <c r="N223" i="3" s="1"/>
  <c r="G223" i="3"/>
  <c r="L223" i="3" s="1"/>
  <c r="O223" i="3" s="1"/>
  <c r="P223" i="3" s="1"/>
  <c r="L222" i="3"/>
  <c r="O222" i="3" s="1"/>
  <c r="P222" i="3" s="1"/>
  <c r="N222" i="3"/>
  <c r="F123" i="4" l="1"/>
  <c r="O123" i="4"/>
  <c r="P122" i="4"/>
  <c r="Q122" i="4" s="1"/>
  <c r="H123" i="4"/>
  <c r="K123" i="4"/>
  <c r="L123" i="4" s="1"/>
  <c r="C224" i="3"/>
  <c r="E224" i="3"/>
  <c r="J224" i="3" s="1"/>
  <c r="K224" i="3" s="1"/>
  <c r="B225" i="3" s="1"/>
  <c r="F224" i="3"/>
  <c r="G224" i="3"/>
  <c r="D224" i="3"/>
  <c r="N224" i="3" s="1"/>
  <c r="M123" i="4" l="1"/>
  <c r="C124" i="4"/>
  <c r="C225" i="3"/>
  <c r="E225" i="3"/>
  <c r="J225" i="3" s="1"/>
  <c r="F225" i="3"/>
  <c r="D225" i="3"/>
  <c r="N225" i="3" s="1"/>
  <c r="L224" i="3"/>
  <c r="O224" i="3" s="1"/>
  <c r="P224" i="3" s="1"/>
  <c r="N124" i="4" l="1"/>
  <c r="J124" i="4"/>
  <c r="P123" i="4"/>
  <c r="Q123" i="4" s="1"/>
  <c r="D124" i="4"/>
  <c r="E124" i="4" s="1"/>
  <c r="G124" i="4"/>
  <c r="K225" i="3"/>
  <c r="B226" i="3" s="1"/>
  <c r="G225" i="3"/>
  <c r="L225" i="3" s="1"/>
  <c r="O225" i="3" s="1"/>
  <c r="P225" i="3" s="1"/>
  <c r="F124" i="4" l="1"/>
  <c r="O124" i="4"/>
  <c r="H124" i="4"/>
  <c r="K124" i="4"/>
  <c r="L124" i="4" s="1"/>
  <c r="C125" i="4" s="1"/>
  <c r="E226" i="3"/>
  <c r="J226" i="3" s="1"/>
  <c r="C226" i="3"/>
  <c r="K226" i="3" s="1"/>
  <c r="B227" i="3" s="1"/>
  <c r="G226" i="3"/>
  <c r="F226" i="3"/>
  <c r="D226" i="3"/>
  <c r="N226" i="3" s="1"/>
  <c r="N125" i="4" l="1"/>
  <c r="J125" i="4"/>
  <c r="M124" i="4"/>
  <c r="G125" i="4"/>
  <c r="D125" i="4"/>
  <c r="E125" i="4" s="1"/>
  <c r="E227" i="3"/>
  <c r="C227" i="3"/>
  <c r="J227" i="3"/>
  <c r="K227" i="3"/>
  <c r="B228" i="3" s="1"/>
  <c r="F227" i="3"/>
  <c r="D227" i="3"/>
  <c r="N227" i="3" s="1"/>
  <c r="G227" i="3"/>
  <c r="L226" i="3"/>
  <c r="O226" i="3" s="1"/>
  <c r="P226" i="3" s="1"/>
  <c r="F125" i="4" l="1"/>
  <c r="O125" i="4"/>
  <c r="P124" i="4"/>
  <c r="Q124" i="4" s="1"/>
  <c r="H125" i="4"/>
  <c r="K125" i="4"/>
  <c r="L125" i="4" s="1"/>
  <c r="C126" i="4" s="1"/>
  <c r="C228" i="3"/>
  <c r="K228" i="3" s="1"/>
  <c r="B229" i="3" s="1"/>
  <c r="E228" i="3"/>
  <c r="J228" i="3"/>
  <c r="F228" i="3"/>
  <c r="D228" i="3"/>
  <c r="N228" i="3" s="1"/>
  <c r="G228" i="3"/>
  <c r="L228" i="3" s="1"/>
  <c r="O228" i="3" s="1"/>
  <c r="P228" i="3" s="1"/>
  <c r="L227" i="3"/>
  <c r="O227" i="3" s="1"/>
  <c r="P227" i="3" s="1"/>
  <c r="J126" i="4" l="1"/>
  <c r="N126" i="4"/>
  <c r="M125" i="4"/>
  <c r="G126" i="4"/>
  <c r="D126" i="4"/>
  <c r="E126" i="4" s="1"/>
  <c r="C229" i="3"/>
  <c r="E229" i="3"/>
  <c r="J229" i="3" s="1"/>
  <c r="F229" i="3"/>
  <c r="G229" i="3"/>
  <c r="D229" i="3"/>
  <c r="N229" i="3" s="1"/>
  <c r="F126" i="4" l="1"/>
  <c r="O126" i="4"/>
  <c r="P125" i="4"/>
  <c r="Q125" i="4" s="1"/>
  <c r="H126" i="4"/>
  <c r="K126" i="4"/>
  <c r="L126" i="4" s="1"/>
  <c r="C127" i="4" s="1"/>
  <c r="K229" i="3"/>
  <c r="B230" i="3" s="1"/>
  <c r="L229" i="3"/>
  <c r="O229" i="3" s="1"/>
  <c r="P229" i="3" s="1"/>
  <c r="N127" i="4" l="1"/>
  <c r="J127" i="4"/>
  <c r="M126" i="4"/>
  <c r="D127" i="4"/>
  <c r="E127" i="4" s="1"/>
  <c r="G127" i="4"/>
  <c r="C230" i="3"/>
  <c r="E230" i="3"/>
  <c r="J230" i="3" s="1"/>
  <c r="K230" i="3" s="1"/>
  <c r="B231" i="3" s="1"/>
  <c r="G230" i="3"/>
  <c r="F230" i="3"/>
  <c r="D230" i="3"/>
  <c r="N230" i="3" s="1"/>
  <c r="F127" i="4" l="1"/>
  <c r="O127" i="4"/>
  <c r="P126" i="4"/>
  <c r="Q126" i="4" s="1"/>
  <c r="H127" i="4"/>
  <c r="K127" i="4"/>
  <c r="L127" i="4" s="1"/>
  <c r="C128" i="4" s="1"/>
  <c r="E231" i="3"/>
  <c r="J231" i="3" s="1"/>
  <c r="C231" i="3"/>
  <c r="K231" i="3" s="1"/>
  <c r="B232" i="3" s="1"/>
  <c r="G231" i="3"/>
  <c r="F231" i="3"/>
  <c r="D231" i="3"/>
  <c r="N231" i="3" s="1"/>
  <c r="L230" i="3"/>
  <c r="O230" i="3" s="1"/>
  <c r="P230" i="3" s="1"/>
  <c r="N128" i="4" l="1"/>
  <c r="J128" i="4"/>
  <c r="M127" i="4"/>
  <c r="G128" i="4"/>
  <c r="D128" i="4"/>
  <c r="E128" i="4" s="1"/>
  <c r="C232" i="3"/>
  <c r="E232" i="3"/>
  <c r="J232" i="3" s="1"/>
  <c r="K232" i="3" s="1"/>
  <c r="B233" i="3" s="1"/>
  <c r="F232" i="3"/>
  <c r="D232" i="3"/>
  <c r="N232" i="3" s="1"/>
  <c r="G232" i="3"/>
  <c r="L231" i="3"/>
  <c r="O231" i="3" s="1"/>
  <c r="P231" i="3" s="1"/>
  <c r="F128" i="4" l="1"/>
  <c r="O128" i="4"/>
  <c r="P127" i="4"/>
  <c r="Q127" i="4" s="1"/>
  <c r="H128" i="4"/>
  <c r="K128" i="4"/>
  <c r="L128" i="4" s="1"/>
  <c r="C233" i="3"/>
  <c r="E233" i="3"/>
  <c r="J233" i="3" s="1"/>
  <c r="F233" i="3"/>
  <c r="D233" i="3"/>
  <c r="N233" i="3" s="1"/>
  <c r="L232" i="3"/>
  <c r="O232" i="3" s="1"/>
  <c r="P232" i="3" s="1"/>
  <c r="M128" i="4" l="1"/>
  <c r="P128" i="4" s="1"/>
  <c r="Q128" i="4" s="1"/>
  <c r="C129" i="4"/>
  <c r="K233" i="3"/>
  <c r="B234" i="3" s="1"/>
  <c r="G233" i="3"/>
  <c r="L233" i="3" s="1"/>
  <c r="O233" i="3" s="1"/>
  <c r="P233" i="3" s="1"/>
  <c r="N129" i="4" l="1"/>
  <c r="J129" i="4"/>
  <c r="G129" i="4"/>
  <c r="D129" i="4"/>
  <c r="E129" i="4" s="1"/>
  <c r="C234" i="3"/>
  <c r="E234" i="3"/>
  <c r="J234" i="3" s="1"/>
  <c r="G234" i="3"/>
  <c r="F234" i="3"/>
  <c r="D234" i="3"/>
  <c r="N234" i="3" s="1"/>
  <c r="F129" i="4" l="1"/>
  <c r="K129" i="4" s="1"/>
  <c r="L129" i="4" s="1"/>
  <c r="O129" i="4"/>
  <c r="H129" i="4"/>
  <c r="K234" i="3"/>
  <c r="B235" i="3" s="1"/>
  <c r="L234" i="3"/>
  <c r="O234" i="3" s="1"/>
  <c r="P234" i="3" s="1"/>
  <c r="M129" i="4" l="1"/>
  <c r="C130" i="4"/>
  <c r="E235" i="3"/>
  <c r="J235" i="3" s="1"/>
  <c r="C235" i="3"/>
  <c r="F235" i="3"/>
  <c r="D235" i="3"/>
  <c r="N235" i="3" s="1"/>
  <c r="N130" i="4" l="1"/>
  <c r="J130" i="4"/>
  <c r="P129" i="4"/>
  <c r="Q129" i="4" s="1"/>
  <c r="D130" i="4"/>
  <c r="E130" i="4" s="1"/>
  <c r="G130" i="4"/>
  <c r="K235" i="3"/>
  <c r="B236" i="3" s="1"/>
  <c r="G235" i="3"/>
  <c r="L235" i="3" s="1"/>
  <c r="O235" i="3" s="1"/>
  <c r="P235" i="3" s="1"/>
  <c r="F130" i="4" l="1"/>
  <c r="O130" i="4"/>
  <c r="H130" i="4"/>
  <c r="C236" i="3"/>
  <c r="E236" i="3"/>
  <c r="J236" i="3" s="1"/>
  <c r="K236" i="3" s="1"/>
  <c r="B237" i="3" s="1"/>
  <c r="F236" i="3"/>
  <c r="D236" i="3"/>
  <c r="N236" i="3" s="1"/>
  <c r="G236" i="3"/>
  <c r="C237" i="3" l="1"/>
  <c r="E237" i="3"/>
  <c r="J237" i="3" s="1"/>
  <c r="F237" i="3"/>
  <c r="G237" i="3"/>
  <c r="D237" i="3"/>
  <c r="N237" i="3" s="1"/>
  <c r="L236" i="3"/>
  <c r="O236" i="3" s="1"/>
  <c r="P236" i="3" s="1"/>
  <c r="K130" i="4" l="1"/>
  <c r="L130" i="4" s="1"/>
  <c r="C131" i="4" s="1"/>
  <c r="M130" i="4"/>
  <c r="P130" i="4" s="1"/>
  <c r="Q130" i="4" s="1"/>
  <c r="K237" i="3"/>
  <c r="B238" i="3" s="1"/>
  <c r="L237" i="3"/>
  <c r="O237" i="3" s="1"/>
  <c r="P237" i="3" s="1"/>
  <c r="N131" i="4" l="1"/>
  <c r="J131" i="4"/>
  <c r="D131" i="4"/>
  <c r="E131" i="4" s="1"/>
  <c r="G131" i="4"/>
  <c r="C238" i="3"/>
  <c r="K238" i="3" s="1"/>
  <c r="B239" i="3" s="1"/>
  <c r="E238" i="3"/>
  <c r="J238" i="3" s="1"/>
  <c r="F238" i="3"/>
  <c r="D238" i="3"/>
  <c r="N238" i="3" s="1"/>
  <c r="F131" i="4" l="1"/>
  <c r="O131" i="4"/>
  <c r="H131" i="4"/>
  <c r="K131" i="4"/>
  <c r="L131" i="4" s="1"/>
  <c r="C132" i="4" s="1"/>
  <c r="E239" i="3"/>
  <c r="J239" i="3" s="1"/>
  <c r="C239" i="3"/>
  <c r="K239" i="3" s="1"/>
  <c r="B240" i="3" s="1"/>
  <c r="G239" i="3"/>
  <c r="F239" i="3"/>
  <c r="D239" i="3"/>
  <c r="N239" i="3" s="1"/>
  <c r="G238" i="3"/>
  <c r="L238" i="3" s="1"/>
  <c r="O238" i="3" s="1"/>
  <c r="P238" i="3" s="1"/>
  <c r="N132" i="4" l="1"/>
  <c r="J132" i="4"/>
  <c r="M131" i="4"/>
  <c r="D132" i="4"/>
  <c r="E132" i="4" s="1"/>
  <c r="G132" i="4"/>
  <c r="C240" i="3"/>
  <c r="E240" i="3"/>
  <c r="J240" i="3"/>
  <c r="K240" i="3" s="1"/>
  <c r="B241" i="3" s="1"/>
  <c r="G240" i="3"/>
  <c r="F240" i="3"/>
  <c r="D240" i="3"/>
  <c r="N240" i="3" s="1"/>
  <c r="L239" i="3"/>
  <c r="O239" i="3" s="1"/>
  <c r="P239" i="3" s="1"/>
  <c r="F132" i="4" l="1"/>
  <c r="O132" i="4"/>
  <c r="P131" i="4"/>
  <c r="Q131" i="4" s="1"/>
  <c r="H132" i="4"/>
  <c r="K132" i="4"/>
  <c r="L132" i="4" s="1"/>
  <c r="C133" i="4" s="1"/>
  <c r="C241" i="3"/>
  <c r="E241" i="3"/>
  <c r="J241" i="3"/>
  <c r="K241" i="3" s="1"/>
  <c r="B242" i="3" s="1"/>
  <c r="F241" i="3"/>
  <c r="D241" i="3"/>
  <c r="N241" i="3" s="1"/>
  <c r="G241" i="3"/>
  <c r="L240" i="3"/>
  <c r="O240" i="3" s="1"/>
  <c r="P240" i="3" s="1"/>
  <c r="N133" i="4" l="1"/>
  <c r="J133" i="4"/>
  <c r="G133" i="4"/>
  <c r="D133" i="4"/>
  <c r="E133" i="4" s="1"/>
  <c r="M132" i="4"/>
  <c r="E242" i="3"/>
  <c r="J242" i="3" s="1"/>
  <c r="C242" i="3"/>
  <c r="G242" i="3" s="1"/>
  <c r="L242" i="3" s="1"/>
  <c r="O242" i="3" s="1"/>
  <c r="P242" i="3" s="1"/>
  <c r="F242" i="3"/>
  <c r="D242" i="3"/>
  <c r="N242" i="3" s="1"/>
  <c r="L241" i="3"/>
  <c r="O241" i="3" s="1"/>
  <c r="P241" i="3" s="1"/>
  <c r="F133" i="4" l="1"/>
  <c r="O133" i="4"/>
  <c r="P132" i="4"/>
  <c r="Q132" i="4" s="1"/>
  <c r="H133" i="4"/>
  <c r="K242" i="3"/>
  <c r="B243" i="3" s="1"/>
  <c r="K133" i="4" l="1"/>
  <c r="L133" i="4" s="1"/>
  <c r="C134" i="4" s="1"/>
  <c r="E243" i="3"/>
  <c r="J243" i="3" s="1"/>
  <c r="C243" i="3"/>
  <c r="K243" i="3" s="1"/>
  <c r="B244" i="3" s="1"/>
  <c r="F243" i="3"/>
  <c r="D243" i="3"/>
  <c r="N243" i="3" s="1"/>
  <c r="G243" i="3"/>
  <c r="N134" i="4" l="1"/>
  <c r="J134" i="4"/>
  <c r="D134" i="4"/>
  <c r="E134" i="4" s="1"/>
  <c r="M133" i="4"/>
  <c r="P133" i="4" s="1"/>
  <c r="Q133" i="4" s="1"/>
  <c r="G134" i="4"/>
  <c r="C244" i="3"/>
  <c r="E244" i="3"/>
  <c r="J244" i="3" s="1"/>
  <c r="K244" i="3" s="1"/>
  <c r="B245" i="3" s="1"/>
  <c r="G244" i="3"/>
  <c r="F244" i="3"/>
  <c r="D244" i="3"/>
  <c r="N244" i="3" s="1"/>
  <c r="L243" i="3"/>
  <c r="O243" i="3" s="1"/>
  <c r="P243" i="3" s="1"/>
  <c r="H134" i="4" l="1"/>
  <c r="O134" i="4"/>
  <c r="F134" i="4"/>
  <c r="K134" i="4" s="1"/>
  <c r="L134" i="4" s="1"/>
  <c r="C135" i="4" s="1"/>
  <c r="C245" i="3"/>
  <c r="E245" i="3"/>
  <c r="J245" i="3" s="1"/>
  <c r="D245" i="3"/>
  <c r="N245" i="3" s="1"/>
  <c r="G245" i="3"/>
  <c r="F245" i="3"/>
  <c r="L244" i="3"/>
  <c r="O244" i="3" s="1"/>
  <c r="P244" i="3" s="1"/>
  <c r="N135" i="4" l="1"/>
  <c r="J135" i="4"/>
  <c r="M134" i="4"/>
  <c r="P134" i="4" s="1"/>
  <c r="Q134" i="4" s="1"/>
  <c r="G135" i="4"/>
  <c r="D135" i="4"/>
  <c r="E135" i="4" s="1"/>
  <c r="K245" i="3"/>
  <c r="B246" i="3" s="1"/>
  <c r="L245" i="3"/>
  <c r="O245" i="3" s="1"/>
  <c r="P245" i="3" s="1"/>
  <c r="F135" i="4" l="1"/>
  <c r="O135" i="4"/>
  <c r="H135" i="4"/>
  <c r="K135" i="4"/>
  <c r="L135" i="4" s="1"/>
  <c r="C136" i="4" s="1"/>
  <c r="C246" i="3"/>
  <c r="K246" i="3" s="1"/>
  <c r="B247" i="3" s="1"/>
  <c r="E246" i="3"/>
  <c r="J246" i="3" s="1"/>
  <c r="D246" i="3"/>
  <c r="N246" i="3" s="1"/>
  <c r="F246" i="3"/>
  <c r="N136" i="4" l="1"/>
  <c r="J136" i="4"/>
  <c r="M135" i="4"/>
  <c r="G136" i="4"/>
  <c r="D136" i="4"/>
  <c r="E136" i="4" s="1"/>
  <c r="C247" i="3"/>
  <c r="E247" i="3"/>
  <c r="J247" i="3" s="1"/>
  <c r="F247" i="3"/>
  <c r="D247" i="3"/>
  <c r="N247" i="3" s="1"/>
  <c r="G247" i="3"/>
  <c r="G246" i="3"/>
  <c r="L246" i="3" s="1"/>
  <c r="O246" i="3" s="1"/>
  <c r="P246" i="3" s="1"/>
  <c r="F136" i="4" l="1"/>
  <c r="K136" i="4" s="1"/>
  <c r="L136" i="4" s="1"/>
  <c r="C137" i="4" s="1"/>
  <c r="O136" i="4"/>
  <c r="P135" i="4"/>
  <c r="Q135" i="4" s="1"/>
  <c r="H136" i="4"/>
  <c r="K247" i="3"/>
  <c r="B248" i="3" s="1"/>
  <c r="L247" i="3"/>
  <c r="O247" i="3" s="1"/>
  <c r="P247" i="3" s="1"/>
  <c r="N137" i="4" l="1"/>
  <c r="J137" i="4"/>
  <c r="M136" i="4"/>
  <c r="G137" i="4"/>
  <c r="D137" i="4"/>
  <c r="E137" i="4" s="1"/>
  <c r="C248" i="3"/>
  <c r="K248" i="3" s="1"/>
  <c r="B249" i="3" s="1"/>
  <c r="E248" i="3"/>
  <c r="J248" i="3"/>
  <c r="F248" i="3"/>
  <c r="D248" i="3"/>
  <c r="N248" i="3" s="1"/>
  <c r="F137" i="4" l="1"/>
  <c r="K137" i="4" s="1"/>
  <c r="L137" i="4" s="1"/>
  <c r="O137" i="4"/>
  <c r="P136" i="4"/>
  <c r="Q136" i="4" s="1"/>
  <c r="H137" i="4"/>
  <c r="E249" i="3"/>
  <c r="J249" i="3" s="1"/>
  <c r="K249" i="3" s="1"/>
  <c r="B250" i="3" s="1"/>
  <c r="C249" i="3"/>
  <c r="F249" i="3"/>
  <c r="D249" i="3"/>
  <c r="N249" i="3" s="1"/>
  <c r="G249" i="3"/>
  <c r="G248" i="3"/>
  <c r="L248" i="3" s="1"/>
  <c r="O248" i="3" s="1"/>
  <c r="P248" i="3" s="1"/>
  <c r="M137" i="4" l="1"/>
  <c r="C138" i="4"/>
  <c r="E250" i="3"/>
  <c r="J250" i="3" s="1"/>
  <c r="C250" i="3"/>
  <c r="K250" i="3" s="1"/>
  <c r="B251" i="3" s="1"/>
  <c r="D250" i="3"/>
  <c r="F250" i="3"/>
  <c r="L249" i="3"/>
  <c r="O249" i="3" s="1"/>
  <c r="P249" i="3" s="1"/>
  <c r="N138" i="4" l="1"/>
  <c r="J138" i="4"/>
  <c r="P137" i="4"/>
  <c r="Q137" i="4" s="1"/>
  <c r="G138" i="4"/>
  <c r="D138" i="4"/>
  <c r="E138" i="4" s="1"/>
  <c r="C251" i="3"/>
  <c r="E251" i="3"/>
  <c r="J251" i="3"/>
  <c r="K251" i="3" s="1"/>
  <c r="B252" i="3" s="1"/>
  <c r="F251" i="3"/>
  <c r="D251" i="3"/>
  <c r="N251" i="3" s="1"/>
  <c r="G251" i="3"/>
  <c r="N250" i="3"/>
  <c r="G250" i="3"/>
  <c r="L250" i="3" s="1"/>
  <c r="F138" i="4" l="1"/>
  <c r="K138" i="4" s="1"/>
  <c r="L138" i="4" s="1"/>
  <c r="C139" i="4" s="1"/>
  <c r="O138" i="4"/>
  <c r="H138" i="4"/>
  <c r="C252" i="3"/>
  <c r="E252" i="3"/>
  <c r="J252" i="3" s="1"/>
  <c r="F252" i="3"/>
  <c r="D252" i="3"/>
  <c r="N252" i="3" s="1"/>
  <c r="G252" i="3"/>
  <c r="L251" i="3"/>
  <c r="O251" i="3" s="1"/>
  <c r="P251" i="3" s="1"/>
  <c r="O250" i="3"/>
  <c r="P250" i="3" s="1"/>
  <c r="N139" i="4" l="1"/>
  <c r="J139" i="4"/>
  <c r="M138" i="4"/>
  <c r="D139" i="4"/>
  <c r="E139" i="4" s="1"/>
  <c r="G139" i="4"/>
  <c r="K252" i="3"/>
  <c r="B253" i="3" s="1"/>
  <c r="L252" i="3"/>
  <c r="O252" i="3" s="1"/>
  <c r="P252" i="3" s="1"/>
  <c r="F139" i="4" l="1"/>
  <c r="K139" i="4" s="1"/>
  <c r="L139" i="4" s="1"/>
  <c r="C140" i="4" s="1"/>
  <c r="O139" i="4"/>
  <c r="P138" i="4"/>
  <c r="Q138" i="4" s="1"/>
  <c r="H139" i="4"/>
  <c r="C253" i="3"/>
  <c r="E253" i="3"/>
  <c r="J253" i="3" s="1"/>
  <c r="G253" i="3"/>
  <c r="L253" i="3" s="1"/>
  <c r="F253" i="3"/>
  <c r="D253" i="3"/>
  <c r="N140" i="4" l="1"/>
  <c r="J140" i="4"/>
  <c r="M139" i="4"/>
  <c r="D140" i="4"/>
  <c r="E140" i="4" s="1"/>
  <c r="G140" i="4"/>
  <c r="K253" i="3"/>
  <c r="B254" i="3" s="1"/>
  <c r="N253" i="3"/>
  <c r="O253" i="3" s="1"/>
  <c r="P253" i="3" s="1"/>
  <c r="F140" i="4" l="1"/>
  <c r="K140" i="4" s="1"/>
  <c r="L140" i="4" s="1"/>
  <c r="O140" i="4"/>
  <c r="P139" i="4"/>
  <c r="Q139" i="4" s="1"/>
  <c r="H140" i="4"/>
  <c r="C254" i="3"/>
  <c r="E254" i="3"/>
  <c r="J254" i="3" s="1"/>
  <c r="F254" i="3"/>
  <c r="D254" i="3"/>
  <c r="N254" i="3" s="1"/>
  <c r="M140" i="4" l="1"/>
  <c r="C141" i="4"/>
  <c r="K254" i="3"/>
  <c r="B255" i="3" s="1"/>
  <c r="G254" i="3"/>
  <c r="L254" i="3" s="1"/>
  <c r="O254" i="3" s="1"/>
  <c r="P254" i="3" s="1"/>
  <c r="N141" i="4" l="1"/>
  <c r="J141" i="4"/>
  <c r="P140" i="4"/>
  <c r="Q140" i="4" s="1"/>
  <c r="D141" i="4"/>
  <c r="E141" i="4" s="1"/>
  <c r="G141" i="4"/>
  <c r="K255" i="3"/>
  <c r="B256" i="3" s="1"/>
  <c r="C255" i="3"/>
  <c r="E255" i="3"/>
  <c r="J255" i="3"/>
  <c r="G255" i="3"/>
  <c r="F255" i="3"/>
  <c r="D255" i="3"/>
  <c r="N255" i="3" s="1"/>
  <c r="F141" i="4" l="1"/>
  <c r="O141" i="4"/>
  <c r="H141" i="4"/>
  <c r="K141" i="4"/>
  <c r="L141" i="4" s="1"/>
  <c r="C142" i="4" s="1"/>
  <c r="C256" i="3"/>
  <c r="E256" i="3"/>
  <c r="J256" i="3" s="1"/>
  <c r="K256" i="3" s="1"/>
  <c r="B257" i="3" s="1"/>
  <c r="F256" i="3"/>
  <c r="D256" i="3"/>
  <c r="N256" i="3" s="1"/>
  <c r="G256" i="3"/>
  <c r="L256" i="3" s="1"/>
  <c r="O256" i="3" s="1"/>
  <c r="P256" i="3" s="1"/>
  <c r="L255" i="3"/>
  <c r="O255" i="3" s="1"/>
  <c r="P255" i="3" s="1"/>
  <c r="J142" i="4" l="1"/>
  <c r="N142" i="4"/>
  <c r="M141" i="4"/>
  <c r="D142" i="4"/>
  <c r="E142" i="4" s="1"/>
  <c r="G142" i="4"/>
  <c r="E257" i="3"/>
  <c r="J257" i="3" s="1"/>
  <c r="C257" i="3"/>
  <c r="G257" i="3"/>
  <c r="F257" i="3"/>
  <c r="D257" i="3"/>
  <c r="N257" i="3" s="1"/>
  <c r="F142" i="4" l="1"/>
  <c r="O142" i="4"/>
  <c r="P141" i="4"/>
  <c r="Q141" i="4" s="1"/>
  <c r="H142" i="4"/>
  <c r="K142" i="4"/>
  <c r="L142" i="4" s="1"/>
  <c r="C143" i="4" s="1"/>
  <c r="K257" i="3"/>
  <c r="B258" i="3" s="1"/>
  <c r="L257" i="3"/>
  <c r="O257" i="3" s="1"/>
  <c r="P257" i="3" s="1"/>
  <c r="N143" i="4" l="1"/>
  <c r="J143" i="4"/>
  <c r="M142" i="4"/>
  <c r="D143" i="4"/>
  <c r="E143" i="4" s="1"/>
  <c r="G143" i="4"/>
  <c r="E258" i="3"/>
  <c r="J258" i="3" s="1"/>
  <c r="K258" i="3" s="1"/>
  <c r="B259" i="3" s="1"/>
  <c r="C258" i="3"/>
  <c r="F258" i="3"/>
  <c r="D258" i="3"/>
  <c r="N258" i="3" s="1"/>
  <c r="G258" i="3"/>
  <c r="F143" i="4" l="1"/>
  <c r="K143" i="4" s="1"/>
  <c r="L143" i="4" s="1"/>
  <c r="O143" i="4"/>
  <c r="P142" i="4"/>
  <c r="Q142" i="4" s="1"/>
  <c r="H143" i="4"/>
  <c r="C259" i="3"/>
  <c r="E259" i="3"/>
  <c r="J259" i="3" s="1"/>
  <c r="F259" i="3"/>
  <c r="D259" i="3"/>
  <c r="N259" i="3" s="1"/>
  <c r="L258" i="3"/>
  <c r="O258" i="3" s="1"/>
  <c r="P258" i="3" s="1"/>
  <c r="M143" i="4" l="1"/>
  <c r="C144" i="4"/>
  <c r="K259" i="3"/>
  <c r="B260" i="3" s="1"/>
  <c r="G259" i="3"/>
  <c r="L259" i="3" s="1"/>
  <c r="O259" i="3" s="1"/>
  <c r="P259" i="3" s="1"/>
  <c r="N144" i="4" l="1"/>
  <c r="J144" i="4"/>
  <c r="P143" i="4"/>
  <c r="Q143" i="4" s="1"/>
  <c r="D144" i="4"/>
  <c r="E144" i="4" s="1"/>
  <c r="G144" i="4"/>
  <c r="C260" i="3"/>
  <c r="G260" i="3" s="1"/>
  <c r="L260" i="3" s="1"/>
  <c r="O260" i="3" s="1"/>
  <c r="P260" i="3" s="1"/>
  <c r="E260" i="3"/>
  <c r="J260" i="3" s="1"/>
  <c r="F260" i="3"/>
  <c r="D260" i="3"/>
  <c r="N260" i="3" s="1"/>
  <c r="F144" i="4" l="1"/>
  <c r="K144" i="4" s="1"/>
  <c r="L144" i="4" s="1"/>
  <c r="C145" i="4" s="1"/>
  <c r="O144" i="4"/>
  <c r="H144" i="4"/>
  <c r="K260" i="3"/>
  <c r="B261" i="3" s="1"/>
  <c r="N145" i="4" l="1"/>
  <c r="J145" i="4"/>
  <c r="M144" i="4"/>
  <c r="P144" i="4" s="1"/>
  <c r="Q144" i="4" s="1"/>
  <c r="D145" i="4"/>
  <c r="E145" i="4" s="1"/>
  <c r="G145" i="4"/>
  <c r="C261" i="3"/>
  <c r="E261" i="3"/>
  <c r="J261" i="3" s="1"/>
  <c r="K261" i="3" s="1"/>
  <c r="B262" i="3" s="1"/>
  <c r="G261" i="3"/>
  <c r="F261" i="3"/>
  <c r="D261" i="3"/>
  <c r="N261" i="3" s="1"/>
  <c r="F145" i="4" l="1"/>
  <c r="O145" i="4"/>
  <c r="H145" i="4"/>
  <c r="K145" i="4"/>
  <c r="L145" i="4" s="1"/>
  <c r="C262" i="3"/>
  <c r="E262" i="3"/>
  <c r="J262" i="3" s="1"/>
  <c r="K262" i="3" s="1"/>
  <c r="B263" i="3" s="1"/>
  <c r="F262" i="3"/>
  <c r="D262" i="3"/>
  <c r="N262" i="3" s="1"/>
  <c r="G262" i="3"/>
  <c r="L262" i="3" s="1"/>
  <c r="O262" i="3" s="1"/>
  <c r="P262" i="3" s="1"/>
  <c r="L261" i="3"/>
  <c r="O261" i="3" s="1"/>
  <c r="P261" i="3" s="1"/>
  <c r="M145" i="4" l="1"/>
  <c r="C146" i="4"/>
  <c r="C263" i="3"/>
  <c r="G263" i="3" s="1"/>
  <c r="L263" i="3" s="1"/>
  <c r="O263" i="3" s="1"/>
  <c r="P263" i="3" s="1"/>
  <c r="E263" i="3"/>
  <c r="J263" i="3" s="1"/>
  <c r="K263" i="3" s="1"/>
  <c r="B264" i="3" s="1"/>
  <c r="D263" i="3"/>
  <c r="N263" i="3" s="1"/>
  <c r="F263" i="3"/>
  <c r="N146" i="4" l="1"/>
  <c r="J146" i="4"/>
  <c r="P145" i="4"/>
  <c r="Q145" i="4" s="1"/>
  <c r="G146" i="4"/>
  <c r="D146" i="4"/>
  <c r="E146" i="4" s="1"/>
  <c r="C264" i="3"/>
  <c r="E264" i="3"/>
  <c r="J264" i="3"/>
  <c r="K264" i="3" s="1"/>
  <c r="B265" i="3" s="1"/>
  <c r="G264" i="3"/>
  <c r="F264" i="3"/>
  <c r="D264" i="3"/>
  <c r="N264" i="3" s="1"/>
  <c r="F146" i="4" l="1"/>
  <c r="O146" i="4"/>
  <c r="H146" i="4"/>
  <c r="K146" i="4"/>
  <c r="L146" i="4" s="1"/>
  <c r="C147" i="4" s="1"/>
  <c r="E265" i="3"/>
  <c r="J265" i="3"/>
  <c r="C265" i="3"/>
  <c r="K265" i="3" s="1"/>
  <c r="B266" i="3" s="1"/>
  <c r="F265" i="3"/>
  <c r="D265" i="3"/>
  <c r="N265" i="3" s="1"/>
  <c r="L264" i="3"/>
  <c r="O264" i="3" s="1"/>
  <c r="P264" i="3" s="1"/>
  <c r="N147" i="4" l="1"/>
  <c r="J147" i="4"/>
  <c r="M146" i="4"/>
  <c r="D147" i="4"/>
  <c r="E147" i="4" s="1"/>
  <c r="G147" i="4"/>
  <c r="E266" i="3"/>
  <c r="J266" i="3" s="1"/>
  <c r="K266" i="3" s="1"/>
  <c r="B267" i="3" s="1"/>
  <c r="C266" i="3"/>
  <c r="G266" i="3"/>
  <c r="F266" i="3"/>
  <c r="D266" i="3"/>
  <c r="N266" i="3" s="1"/>
  <c r="G265" i="3"/>
  <c r="L265" i="3" s="1"/>
  <c r="O265" i="3" s="1"/>
  <c r="P265" i="3" s="1"/>
  <c r="F147" i="4" l="1"/>
  <c r="O147" i="4"/>
  <c r="P146" i="4"/>
  <c r="Q146" i="4" s="1"/>
  <c r="H147" i="4"/>
  <c r="K147" i="4"/>
  <c r="L147" i="4" s="1"/>
  <c r="C148" i="4" s="1"/>
  <c r="C267" i="3"/>
  <c r="E267" i="3"/>
  <c r="J267" i="3" s="1"/>
  <c r="K267" i="3" s="1"/>
  <c r="B268" i="3" s="1"/>
  <c r="F267" i="3"/>
  <c r="D267" i="3"/>
  <c r="N267" i="3" s="1"/>
  <c r="G267" i="3"/>
  <c r="L267" i="3" s="1"/>
  <c r="O267" i="3" s="1"/>
  <c r="P267" i="3" s="1"/>
  <c r="L266" i="3"/>
  <c r="O266" i="3" s="1"/>
  <c r="P266" i="3" s="1"/>
  <c r="N148" i="4" l="1"/>
  <c r="J148" i="4"/>
  <c r="M147" i="4"/>
  <c r="G148" i="4"/>
  <c r="D148" i="4"/>
  <c r="E148" i="4" s="1"/>
  <c r="J268" i="3"/>
  <c r="C268" i="3"/>
  <c r="K268" i="3" s="1"/>
  <c r="B269" i="3" s="1"/>
  <c r="E268" i="3"/>
  <c r="G268" i="3"/>
  <c r="L268" i="3" s="1"/>
  <c r="O268" i="3" s="1"/>
  <c r="P268" i="3" s="1"/>
  <c r="F268" i="3"/>
  <c r="D268" i="3"/>
  <c r="N268" i="3" s="1"/>
  <c r="F148" i="4" l="1"/>
  <c r="K148" i="4" s="1"/>
  <c r="L148" i="4" s="1"/>
  <c r="C149" i="4" s="1"/>
  <c r="O148" i="4"/>
  <c r="P147" i="4"/>
  <c r="Q147" i="4" s="1"/>
  <c r="H148" i="4"/>
  <c r="C269" i="3"/>
  <c r="E269" i="3"/>
  <c r="J269" i="3" s="1"/>
  <c r="K269" i="3" s="1"/>
  <c r="B270" i="3" s="1"/>
  <c r="F269" i="3"/>
  <c r="D269" i="3"/>
  <c r="N269" i="3" s="1"/>
  <c r="G269" i="3"/>
  <c r="N149" i="4" l="1"/>
  <c r="J149" i="4"/>
  <c r="M148" i="4"/>
  <c r="G149" i="4"/>
  <c r="D149" i="4"/>
  <c r="E149" i="4" s="1"/>
  <c r="C270" i="3"/>
  <c r="E270" i="3"/>
  <c r="J270" i="3" s="1"/>
  <c r="F270" i="3"/>
  <c r="D270" i="3"/>
  <c r="N270" i="3" s="1"/>
  <c r="L269" i="3"/>
  <c r="O269" i="3" s="1"/>
  <c r="P269" i="3" s="1"/>
  <c r="F149" i="4" l="1"/>
  <c r="O149" i="4"/>
  <c r="P148" i="4"/>
  <c r="Q148" i="4" s="1"/>
  <c r="H149" i="4"/>
  <c r="K149" i="4"/>
  <c r="L149" i="4" s="1"/>
  <c r="C150" i="4" s="1"/>
  <c r="K270" i="3"/>
  <c r="B271" i="3" s="1"/>
  <c r="G270" i="3"/>
  <c r="L270" i="3" s="1"/>
  <c r="O270" i="3" s="1"/>
  <c r="P270" i="3" s="1"/>
  <c r="J150" i="4" l="1"/>
  <c r="N150" i="4"/>
  <c r="M149" i="4"/>
  <c r="G150" i="4"/>
  <c r="D150" i="4"/>
  <c r="E150" i="4" s="1"/>
  <c r="C271" i="3"/>
  <c r="E271" i="3"/>
  <c r="J271" i="3" s="1"/>
  <c r="K271" i="3" s="1"/>
  <c r="B272" i="3" s="1"/>
  <c r="F271" i="3"/>
  <c r="D271" i="3"/>
  <c r="N271" i="3" s="1"/>
  <c r="G271" i="3"/>
  <c r="F150" i="4" l="1"/>
  <c r="K150" i="4" s="1"/>
  <c r="L150" i="4" s="1"/>
  <c r="C151" i="4" s="1"/>
  <c r="O150" i="4"/>
  <c r="P149" i="4"/>
  <c r="Q149" i="4" s="1"/>
  <c r="H150" i="4"/>
  <c r="C272" i="3"/>
  <c r="E272" i="3"/>
  <c r="J272" i="3"/>
  <c r="K272" i="3" s="1"/>
  <c r="B273" i="3" s="1"/>
  <c r="G272" i="3"/>
  <c r="F272" i="3"/>
  <c r="D272" i="3"/>
  <c r="N272" i="3" s="1"/>
  <c r="L271" i="3"/>
  <c r="O271" i="3" s="1"/>
  <c r="P271" i="3" s="1"/>
  <c r="N151" i="4" l="1"/>
  <c r="J151" i="4"/>
  <c r="M150" i="4"/>
  <c r="P150" i="4" s="1"/>
  <c r="Q150" i="4" s="1"/>
  <c r="D151" i="4"/>
  <c r="E151" i="4" s="1"/>
  <c r="G151" i="4"/>
  <c r="E273" i="3"/>
  <c r="J273" i="3" s="1"/>
  <c r="C273" i="3"/>
  <c r="K273" i="3" s="1"/>
  <c r="B274" i="3" s="1"/>
  <c r="F273" i="3"/>
  <c r="D273" i="3"/>
  <c r="N273" i="3" s="1"/>
  <c r="G273" i="3"/>
  <c r="L272" i="3"/>
  <c r="O272" i="3" s="1"/>
  <c r="P272" i="3" s="1"/>
  <c r="F151" i="4" l="1"/>
  <c r="K151" i="4" s="1"/>
  <c r="L151" i="4" s="1"/>
  <c r="O151" i="4"/>
  <c r="H151" i="4"/>
  <c r="E274" i="3"/>
  <c r="J274" i="3" s="1"/>
  <c r="K274" i="3" s="1"/>
  <c r="B275" i="3" s="1"/>
  <c r="C274" i="3"/>
  <c r="G274" i="3"/>
  <c r="F274" i="3"/>
  <c r="D274" i="3"/>
  <c r="N274" i="3" s="1"/>
  <c r="L273" i="3"/>
  <c r="O273" i="3" s="1"/>
  <c r="P273" i="3" s="1"/>
  <c r="M151" i="4" l="1"/>
  <c r="C152" i="4"/>
  <c r="C275" i="3"/>
  <c r="K275" i="3" s="1"/>
  <c r="B276" i="3" s="1"/>
  <c r="E275" i="3"/>
  <c r="J275" i="3" s="1"/>
  <c r="F275" i="3"/>
  <c r="D275" i="3"/>
  <c r="N275" i="3" s="1"/>
  <c r="L274" i="3"/>
  <c r="O274" i="3" s="1"/>
  <c r="P274" i="3" s="1"/>
  <c r="N152" i="4" l="1"/>
  <c r="J152" i="4"/>
  <c r="P151" i="4"/>
  <c r="Q151" i="4" s="1"/>
  <c r="D152" i="4"/>
  <c r="E152" i="4" s="1"/>
  <c r="G152" i="4"/>
  <c r="C276" i="3"/>
  <c r="E276" i="3"/>
  <c r="J276" i="3" s="1"/>
  <c r="F276" i="3"/>
  <c r="D276" i="3"/>
  <c r="G276" i="3"/>
  <c r="G275" i="3"/>
  <c r="L275" i="3" s="1"/>
  <c r="O275" i="3" s="1"/>
  <c r="P275" i="3" s="1"/>
  <c r="F152" i="4" l="1"/>
  <c r="K152" i="4" s="1"/>
  <c r="L152" i="4" s="1"/>
  <c r="O152" i="4"/>
  <c r="H152" i="4"/>
  <c r="K276" i="3"/>
  <c r="B277" i="3" s="1"/>
  <c r="L276" i="3"/>
  <c r="O276" i="3" s="1"/>
  <c r="P276" i="3" s="1"/>
  <c r="N276" i="3"/>
  <c r="M152" i="4" l="1"/>
  <c r="C153" i="4"/>
  <c r="C277" i="3"/>
  <c r="E277" i="3"/>
  <c r="J277" i="3" s="1"/>
  <c r="G277" i="3"/>
  <c r="L277" i="3" s="1"/>
  <c r="O277" i="3" s="1"/>
  <c r="P277" i="3" s="1"/>
  <c r="F277" i="3"/>
  <c r="D277" i="3"/>
  <c r="N277" i="3" s="1"/>
  <c r="N153" i="4" l="1"/>
  <c r="J153" i="4"/>
  <c r="P152" i="4"/>
  <c r="Q152" i="4" s="1"/>
  <c r="G153" i="4"/>
  <c r="D153" i="4"/>
  <c r="E153" i="4" s="1"/>
  <c r="K277" i="3"/>
  <c r="B278" i="3" s="1"/>
  <c r="F153" i="4" l="1"/>
  <c r="K153" i="4" s="1"/>
  <c r="L153" i="4" s="1"/>
  <c r="O153" i="4"/>
  <c r="H153" i="4"/>
  <c r="C278" i="3"/>
  <c r="E278" i="3"/>
  <c r="J278" i="3" s="1"/>
  <c r="K278" i="3" s="1"/>
  <c r="B279" i="3" s="1"/>
  <c r="F278" i="3"/>
  <c r="D278" i="3"/>
  <c r="N278" i="3" s="1"/>
  <c r="G278" i="3"/>
  <c r="L278" i="3" s="1"/>
  <c r="O278" i="3" s="1"/>
  <c r="P278" i="3" s="1"/>
  <c r="M153" i="4" l="1"/>
  <c r="P153" i="4" s="1"/>
  <c r="Q153" i="4" s="1"/>
  <c r="C154" i="4"/>
  <c r="C279" i="3"/>
  <c r="E279" i="3"/>
  <c r="J279" i="3" s="1"/>
  <c r="K279" i="3" s="1"/>
  <c r="B280" i="3" s="1"/>
  <c r="G279" i="3"/>
  <c r="F279" i="3"/>
  <c r="D279" i="3"/>
  <c r="N279" i="3" s="1"/>
  <c r="N154" i="4" l="1"/>
  <c r="J154" i="4"/>
  <c r="D154" i="4"/>
  <c r="E154" i="4" s="1"/>
  <c r="G154" i="4"/>
  <c r="C280" i="3"/>
  <c r="E280" i="3"/>
  <c r="J280" i="3" s="1"/>
  <c r="F280" i="3"/>
  <c r="D280" i="3"/>
  <c r="N280" i="3" s="1"/>
  <c r="L279" i="3"/>
  <c r="O279" i="3" s="1"/>
  <c r="P279" i="3" s="1"/>
  <c r="F154" i="4" l="1"/>
  <c r="K154" i="4" s="1"/>
  <c r="L154" i="4" s="1"/>
  <c r="C155" i="4" s="1"/>
  <c r="O154" i="4"/>
  <c r="H154" i="4"/>
  <c r="K280" i="3"/>
  <c r="B281" i="3" s="1"/>
  <c r="G280" i="3"/>
  <c r="L280" i="3" s="1"/>
  <c r="O280" i="3" s="1"/>
  <c r="P280" i="3" s="1"/>
  <c r="N155" i="4" l="1"/>
  <c r="J155" i="4"/>
  <c r="M154" i="4"/>
  <c r="D155" i="4"/>
  <c r="E155" i="4" s="1"/>
  <c r="G155" i="4"/>
  <c r="E281" i="3"/>
  <c r="J281" i="3" s="1"/>
  <c r="C281" i="3"/>
  <c r="G281" i="3"/>
  <c r="L281" i="3" s="1"/>
  <c r="F281" i="3"/>
  <c r="D281" i="3"/>
  <c r="F155" i="4" l="1"/>
  <c r="K155" i="4" s="1"/>
  <c r="L155" i="4" s="1"/>
  <c r="C156" i="4" s="1"/>
  <c r="O155" i="4"/>
  <c r="P154" i="4"/>
  <c r="Q154" i="4" s="1"/>
  <c r="H155" i="4"/>
  <c r="K281" i="3"/>
  <c r="B282" i="3" s="1"/>
  <c r="N281" i="3"/>
  <c r="O281" i="3" s="1"/>
  <c r="P281" i="3" s="1"/>
  <c r="N156" i="4" l="1"/>
  <c r="J156" i="4"/>
  <c r="M155" i="4"/>
  <c r="D156" i="4"/>
  <c r="E156" i="4" s="1"/>
  <c r="G156" i="4"/>
  <c r="E282" i="3"/>
  <c r="J282" i="3" s="1"/>
  <c r="K282" i="3" s="1"/>
  <c r="B283" i="3" s="1"/>
  <c r="C282" i="3"/>
  <c r="G282" i="3" s="1"/>
  <c r="L282" i="3" s="1"/>
  <c r="O282" i="3" s="1"/>
  <c r="P282" i="3" s="1"/>
  <c r="F282" i="3"/>
  <c r="D282" i="3"/>
  <c r="N282" i="3" s="1"/>
  <c r="F156" i="4" l="1"/>
  <c r="K156" i="4" s="1"/>
  <c r="L156" i="4" s="1"/>
  <c r="C157" i="4" s="1"/>
  <c r="O156" i="4"/>
  <c r="P155" i="4"/>
  <c r="Q155" i="4" s="1"/>
  <c r="H156" i="4"/>
  <c r="C283" i="3"/>
  <c r="E283" i="3"/>
  <c r="J283" i="3" s="1"/>
  <c r="K283" i="3" s="1"/>
  <c r="B284" i="3" s="1"/>
  <c r="G283" i="3"/>
  <c r="F283" i="3"/>
  <c r="D283" i="3"/>
  <c r="N283" i="3" s="1"/>
  <c r="N157" i="4" l="1"/>
  <c r="J157" i="4"/>
  <c r="M156" i="4"/>
  <c r="D157" i="4"/>
  <c r="E157" i="4" s="1"/>
  <c r="G157" i="4"/>
  <c r="J284" i="3"/>
  <c r="K284" i="3" s="1"/>
  <c r="B285" i="3" s="1"/>
  <c r="C284" i="3"/>
  <c r="E284" i="3"/>
  <c r="F284" i="3"/>
  <c r="D284" i="3"/>
  <c r="N284" i="3" s="1"/>
  <c r="G284" i="3"/>
  <c r="L284" i="3" s="1"/>
  <c r="O284" i="3" s="1"/>
  <c r="P284" i="3" s="1"/>
  <c r="L283" i="3"/>
  <c r="O283" i="3" s="1"/>
  <c r="P283" i="3" s="1"/>
  <c r="F157" i="4" l="1"/>
  <c r="K157" i="4" s="1"/>
  <c r="L157" i="4" s="1"/>
  <c r="O157" i="4"/>
  <c r="P156" i="4"/>
  <c r="Q156" i="4" s="1"/>
  <c r="H157" i="4"/>
  <c r="C285" i="3"/>
  <c r="K285" i="3" s="1"/>
  <c r="B286" i="3" s="1"/>
  <c r="E285" i="3"/>
  <c r="J285" i="3" s="1"/>
  <c r="F285" i="3"/>
  <c r="D285" i="3"/>
  <c r="N285" i="3" s="1"/>
  <c r="M157" i="4" l="1"/>
  <c r="C158" i="4"/>
  <c r="C286" i="3"/>
  <c r="E286" i="3"/>
  <c r="J286" i="3" s="1"/>
  <c r="F286" i="3"/>
  <c r="D286" i="3"/>
  <c r="N286" i="3" s="1"/>
  <c r="G285" i="3"/>
  <c r="L285" i="3" s="1"/>
  <c r="O285" i="3" s="1"/>
  <c r="P285" i="3" s="1"/>
  <c r="J158" i="4" l="1"/>
  <c r="N158" i="4"/>
  <c r="P157" i="4"/>
  <c r="Q157" i="4" s="1"/>
  <c r="G158" i="4"/>
  <c r="D158" i="4"/>
  <c r="E158" i="4" s="1"/>
  <c r="K286" i="3"/>
  <c r="B287" i="3" s="1"/>
  <c r="G286" i="3"/>
  <c r="L286" i="3" s="1"/>
  <c r="O286" i="3" s="1"/>
  <c r="P286" i="3" s="1"/>
  <c r="F158" i="4" l="1"/>
  <c r="K158" i="4" s="1"/>
  <c r="L158" i="4" s="1"/>
  <c r="O158" i="4"/>
  <c r="H158" i="4"/>
  <c r="C287" i="3"/>
  <c r="K287" i="3" s="1"/>
  <c r="B288" i="3" s="1"/>
  <c r="E287" i="3"/>
  <c r="J287" i="3" s="1"/>
  <c r="F287" i="3"/>
  <c r="D287" i="3"/>
  <c r="N287" i="3" s="1"/>
  <c r="M158" i="4" l="1"/>
  <c r="C159" i="4"/>
  <c r="C288" i="3"/>
  <c r="E288" i="3"/>
  <c r="J288" i="3" s="1"/>
  <c r="F288" i="3"/>
  <c r="D288" i="3"/>
  <c r="N288" i="3" s="1"/>
  <c r="G287" i="3"/>
  <c r="L287" i="3" s="1"/>
  <c r="O287" i="3" s="1"/>
  <c r="P287" i="3" s="1"/>
  <c r="N159" i="4" l="1"/>
  <c r="J159" i="4"/>
  <c r="P158" i="4"/>
  <c r="Q158" i="4" s="1"/>
  <c r="G159" i="4"/>
  <c r="D159" i="4"/>
  <c r="E159" i="4" s="1"/>
  <c r="K288" i="3"/>
  <c r="B289" i="3" s="1"/>
  <c r="G288" i="3"/>
  <c r="L288" i="3" s="1"/>
  <c r="O288" i="3" s="1"/>
  <c r="P288" i="3" s="1"/>
  <c r="F159" i="4" l="1"/>
  <c r="K159" i="4" s="1"/>
  <c r="L159" i="4" s="1"/>
  <c r="C160" i="4" s="1"/>
  <c r="O159" i="4"/>
  <c r="H159" i="4"/>
  <c r="E289" i="3"/>
  <c r="J289" i="3" s="1"/>
  <c r="C289" i="3"/>
  <c r="F289" i="3"/>
  <c r="D289" i="3"/>
  <c r="N289" i="3" s="1"/>
  <c r="G289" i="3"/>
  <c r="L289" i="3" s="1"/>
  <c r="O289" i="3" s="1"/>
  <c r="P289" i="3" s="1"/>
  <c r="N160" i="4" l="1"/>
  <c r="J160" i="4"/>
  <c r="M159" i="4"/>
  <c r="G160" i="4"/>
  <c r="D160" i="4"/>
  <c r="E160" i="4" s="1"/>
  <c r="K289" i="3"/>
  <c r="B290" i="3" s="1"/>
  <c r="F160" i="4" l="1"/>
  <c r="K160" i="4" s="1"/>
  <c r="L160" i="4" s="1"/>
  <c r="O160" i="4"/>
  <c r="P159" i="4"/>
  <c r="Q159" i="4" s="1"/>
  <c r="H160" i="4"/>
  <c r="E290" i="3"/>
  <c r="J290" i="3" s="1"/>
  <c r="K290" i="3" s="1"/>
  <c r="B291" i="3" s="1"/>
  <c r="C290" i="3"/>
  <c r="G290" i="3"/>
  <c r="D290" i="3"/>
  <c r="F290" i="3"/>
  <c r="M160" i="4" l="1"/>
  <c r="P160" i="4" s="1"/>
  <c r="Q160" i="4" s="1"/>
  <c r="C161" i="4"/>
  <c r="C291" i="3"/>
  <c r="K291" i="3" s="1"/>
  <c r="B292" i="3" s="1"/>
  <c r="E291" i="3"/>
  <c r="J291" i="3" s="1"/>
  <c r="G291" i="3"/>
  <c r="F291" i="3"/>
  <c r="D291" i="3"/>
  <c r="N291" i="3" s="1"/>
  <c r="N290" i="3"/>
  <c r="L290" i="3"/>
  <c r="O290" i="3" s="1"/>
  <c r="P290" i="3" s="1"/>
  <c r="N161" i="4" l="1"/>
  <c r="J161" i="4"/>
  <c r="G161" i="4"/>
  <c r="D161" i="4"/>
  <c r="E161" i="4" s="1"/>
  <c r="J292" i="3"/>
  <c r="K292" i="3" s="1"/>
  <c r="B293" i="3" s="1"/>
  <c r="C292" i="3"/>
  <c r="E292" i="3"/>
  <c r="G292" i="3"/>
  <c r="F292" i="3"/>
  <c r="D292" i="3"/>
  <c r="N292" i="3" s="1"/>
  <c r="L291" i="3"/>
  <c r="O291" i="3" s="1"/>
  <c r="P291" i="3" s="1"/>
  <c r="F161" i="4" l="1"/>
  <c r="K161" i="4" s="1"/>
  <c r="L161" i="4" s="1"/>
  <c r="C162" i="4" s="1"/>
  <c r="O161" i="4"/>
  <c r="H161" i="4"/>
  <c r="C293" i="3"/>
  <c r="E293" i="3"/>
  <c r="J293" i="3" s="1"/>
  <c r="G293" i="3"/>
  <c r="F293" i="3"/>
  <c r="D293" i="3"/>
  <c r="N293" i="3" s="1"/>
  <c r="L292" i="3"/>
  <c r="O292" i="3" s="1"/>
  <c r="P292" i="3" s="1"/>
  <c r="N162" i="4" l="1"/>
  <c r="J162" i="4"/>
  <c r="M161" i="4"/>
  <c r="P161" i="4" s="1"/>
  <c r="Q161" i="4" s="1"/>
  <c r="D162" i="4"/>
  <c r="E162" i="4" s="1"/>
  <c r="G162" i="4"/>
  <c r="K293" i="3"/>
  <c r="B294" i="3" s="1"/>
  <c r="L293" i="3"/>
  <c r="O293" i="3" s="1"/>
  <c r="P293" i="3" s="1"/>
  <c r="F162" i="4" l="1"/>
  <c r="K162" i="4" s="1"/>
  <c r="L162" i="4" s="1"/>
  <c r="C163" i="4" s="1"/>
  <c r="O162" i="4"/>
  <c r="H162" i="4"/>
  <c r="C294" i="3"/>
  <c r="G294" i="3" s="1"/>
  <c r="L294" i="3" s="1"/>
  <c r="O294" i="3" s="1"/>
  <c r="P294" i="3" s="1"/>
  <c r="E294" i="3"/>
  <c r="J294" i="3"/>
  <c r="D294" i="3"/>
  <c r="N294" i="3" s="1"/>
  <c r="F294" i="3"/>
  <c r="N163" i="4" l="1"/>
  <c r="J163" i="4"/>
  <c r="M162" i="4"/>
  <c r="D163" i="4"/>
  <c r="E163" i="4" s="1"/>
  <c r="G163" i="4"/>
  <c r="K294" i="3"/>
  <c r="B295" i="3" s="1"/>
  <c r="F163" i="4" l="1"/>
  <c r="K163" i="4" s="1"/>
  <c r="L163" i="4" s="1"/>
  <c r="O163" i="4"/>
  <c r="P162" i="4"/>
  <c r="Q162" i="4" s="1"/>
  <c r="H163" i="4"/>
  <c r="C295" i="3"/>
  <c r="G295" i="3" s="1"/>
  <c r="L295" i="3" s="1"/>
  <c r="O295" i="3" s="1"/>
  <c r="P295" i="3" s="1"/>
  <c r="E295" i="3"/>
  <c r="J295" i="3" s="1"/>
  <c r="F295" i="3"/>
  <c r="D295" i="3"/>
  <c r="N295" i="3" s="1"/>
  <c r="M163" i="4" l="1"/>
  <c r="C164" i="4"/>
  <c r="K295" i="3"/>
  <c r="B296" i="3" s="1"/>
  <c r="N164" i="4" l="1"/>
  <c r="J164" i="4"/>
  <c r="P163" i="4"/>
  <c r="Q163" i="4" s="1"/>
  <c r="D164" i="4"/>
  <c r="E164" i="4" s="1"/>
  <c r="G164" i="4"/>
  <c r="C296" i="3"/>
  <c r="E296" i="3"/>
  <c r="J296" i="3" s="1"/>
  <c r="K296" i="3" s="1"/>
  <c r="B297" i="3" s="1"/>
  <c r="G296" i="3"/>
  <c r="L296" i="3" s="1"/>
  <c r="F296" i="3"/>
  <c r="D296" i="3"/>
  <c r="F164" i="4" l="1"/>
  <c r="K164" i="4" s="1"/>
  <c r="L164" i="4" s="1"/>
  <c r="O164" i="4"/>
  <c r="H164" i="4"/>
  <c r="E297" i="3"/>
  <c r="J297" i="3" s="1"/>
  <c r="C297" i="3"/>
  <c r="K297" i="3" s="1"/>
  <c r="B298" i="3" s="1"/>
  <c r="G297" i="3"/>
  <c r="F297" i="3"/>
  <c r="D297" i="3"/>
  <c r="N297" i="3" s="1"/>
  <c r="O296" i="3"/>
  <c r="P296" i="3" s="1"/>
  <c r="N296" i="3"/>
  <c r="M164" i="4" l="1"/>
  <c r="C165" i="4"/>
  <c r="E298" i="3"/>
  <c r="J298" i="3" s="1"/>
  <c r="K298" i="3" s="1"/>
  <c r="B299" i="3" s="1"/>
  <c r="C298" i="3"/>
  <c r="D298" i="3"/>
  <c r="N298" i="3" s="1"/>
  <c r="G298" i="3"/>
  <c r="F298" i="3"/>
  <c r="L297" i="3"/>
  <c r="O297" i="3" s="1"/>
  <c r="P297" i="3" s="1"/>
  <c r="N165" i="4" l="1"/>
  <c r="J165" i="4"/>
  <c r="P164" i="4"/>
  <c r="Q164" i="4" s="1"/>
  <c r="G165" i="4"/>
  <c r="D165" i="4"/>
  <c r="E165" i="4" s="1"/>
  <c r="C299" i="3"/>
  <c r="E299" i="3"/>
  <c r="J299" i="3" s="1"/>
  <c r="K299" i="3" s="1"/>
  <c r="B300" i="3" s="1"/>
  <c r="G299" i="3"/>
  <c r="F299" i="3"/>
  <c r="D299" i="3"/>
  <c r="N299" i="3" s="1"/>
  <c r="L298" i="3"/>
  <c r="O298" i="3" s="1"/>
  <c r="P298" i="3" s="1"/>
  <c r="F165" i="4" l="1"/>
  <c r="K165" i="4" s="1"/>
  <c r="L165" i="4" s="1"/>
  <c r="O165" i="4"/>
  <c r="H165" i="4"/>
  <c r="C300" i="3"/>
  <c r="K300" i="3" s="1"/>
  <c r="B301" i="3" s="1"/>
  <c r="E300" i="3"/>
  <c r="J300" i="3" s="1"/>
  <c r="G300" i="3"/>
  <c r="L300" i="3" s="1"/>
  <c r="O300" i="3" s="1"/>
  <c r="P300" i="3" s="1"/>
  <c r="F300" i="3"/>
  <c r="D300" i="3"/>
  <c r="N300" i="3" s="1"/>
  <c r="L299" i="3"/>
  <c r="O299" i="3" s="1"/>
  <c r="P299" i="3" s="1"/>
  <c r="M165" i="4" l="1"/>
  <c r="C166" i="4"/>
  <c r="C301" i="3"/>
  <c r="K301" i="3" s="1"/>
  <c r="B302" i="3" s="1"/>
  <c r="J301" i="3"/>
  <c r="E301" i="3"/>
  <c r="F301" i="3"/>
  <c r="D301" i="3"/>
  <c r="N301" i="3" s="1"/>
  <c r="N166" i="4" l="1"/>
  <c r="J166" i="4"/>
  <c r="P165" i="4"/>
  <c r="Q165" i="4" s="1"/>
  <c r="D166" i="4"/>
  <c r="E166" i="4" s="1"/>
  <c r="G166" i="4"/>
  <c r="C302" i="3"/>
  <c r="E302" i="3"/>
  <c r="J302" i="3" s="1"/>
  <c r="K302" i="3" s="1"/>
  <c r="B303" i="3" s="1"/>
  <c r="G302" i="3"/>
  <c r="F302" i="3"/>
  <c r="D302" i="3"/>
  <c r="N302" i="3" s="1"/>
  <c r="G301" i="3"/>
  <c r="L301" i="3" s="1"/>
  <c r="O301" i="3" s="1"/>
  <c r="P301" i="3" s="1"/>
  <c r="F166" i="4" l="1"/>
  <c r="K166" i="4" s="1"/>
  <c r="L166" i="4" s="1"/>
  <c r="C167" i="4" s="1"/>
  <c r="O166" i="4"/>
  <c r="H166" i="4"/>
  <c r="C303" i="3"/>
  <c r="K303" i="3" s="1"/>
  <c r="B304" i="3" s="1"/>
  <c r="E303" i="3"/>
  <c r="J303" i="3"/>
  <c r="D303" i="3"/>
  <c r="N303" i="3" s="1"/>
  <c r="F303" i="3"/>
  <c r="L302" i="3"/>
  <c r="O302" i="3" s="1"/>
  <c r="P302" i="3" s="1"/>
  <c r="N167" i="4" l="1"/>
  <c r="J167" i="4"/>
  <c r="M166" i="4"/>
  <c r="D167" i="4"/>
  <c r="E167" i="4" s="1"/>
  <c r="G167" i="4"/>
  <c r="C304" i="3"/>
  <c r="E304" i="3"/>
  <c r="J304" i="3" s="1"/>
  <c r="G304" i="3"/>
  <c r="F304" i="3"/>
  <c r="D304" i="3"/>
  <c r="N304" i="3" s="1"/>
  <c r="G303" i="3"/>
  <c r="L303" i="3" s="1"/>
  <c r="O303" i="3" s="1"/>
  <c r="P303" i="3" s="1"/>
  <c r="F167" i="4" l="1"/>
  <c r="K167" i="4" s="1"/>
  <c r="L167" i="4" s="1"/>
  <c r="C168" i="4" s="1"/>
  <c r="O167" i="4"/>
  <c r="P166" i="4"/>
  <c r="Q166" i="4" s="1"/>
  <c r="H167" i="4"/>
  <c r="K304" i="3"/>
  <c r="B305" i="3" s="1"/>
  <c r="L304" i="3"/>
  <c r="O304" i="3" s="1"/>
  <c r="P304" i="3" s="1"/>
  <c r="N168" i="4" l="1"/>
  <c r="J168" i="4"/>
  <c r="M167" i="4"/>
  <c r="D168" i="4"/>
  <c r="E168" i="4" s="1"/>
  <c r="G168" i="4"/>
  <c r="E305" i="3"/>
  <c r="J305" i="3" s="1"/>
  <c r="K305" i="3" s="1"/>
  <c r="B306" i="3" s="1"/>
  <c r="C305" i="3"/>
  <c r="G305" i="3"/>
  <c r="F305" i="3"/>
  <c r="D305" i="3"/>
  <c r="N305" i="3" s="1"/>
  <c r="F168" i="4" l="1"/>
  <c r="K168" i="4" s="1"/>
  <c r="L168" i="4" s="1"/>
  <c r="O168" i="4"/>
  <c r="P167" i="4"/>
  <c r="Q167" i="4" s="1"/>
  <c r="H168" i="4"/>
  <c r="E306" i="3"/>
  <c r="J306" i="3" s="1"/>
  <c r="K306" i="3" s="1"/>
  <c r="B307" i="3" s="1"/>
  <c r="C306" i="3"/>
  <c r="G306" i="3"/>
  <c r="F306" i="3"/>
  <c r="D306" i="3"/>
  <c r="N306" i="3" s="1"/>
  <c r="L305" i="3"/>
  <c r="O305" i="3" s="1"/>
  <c r="P305" i="3" s="1"/>
  <c r="M168" i="4" l="1"/>
  <c r="C169" i="4"/>
  <c r="C307" i="3"/>
  <c r="E307" i="3"/>
  <c r="J307" i="3" s="1"/>
  <c r="K307" i="3" s="1"/>
  <c r="B308" i="3" s="1"/>
  <c r="D307" i="3"/>
  <c r="N307" i="3" s="1"/>
  <c r="G307" i="3"/>
  <c r="L307" i="3" s="1"/>
  <c r="O307" i="3" s="1"/>
  <c r="P307" i="3" s="1"/>
  <c r="F307" i="3"/>
  <c r="L306" i="3"/>
  <c r="O306" i="3" s="1"/>
  <c r="P306" i="3" s="1"/>
  <c r="N169" i="4" l="1"/>
  <c r="J169" i="4"/>
  <c r="P168" i="4"/>
  <c r="Q168" i="4" s="1"/>
  <c r="D169" i="4"/>
  <c r="E169" i="4" s="1"/>
  <c r="G169" i="4"/>
  <c r="C308" i="3"/>
  <c r="E308" i="3"/>
  <c r="J308" i="3" s="1"/>
  <c r="G308" i="3"/>
  <c r="L308" i="3" s="1"/>
  <c r="O308" i="3" s="1"/>
  <c r="P308" i="3" s="1"/>
  <c r="F308" i="3"/>
  <c r="D308" i="3"/>
  <c r="N308" i="3" s="1"/>
  <c r="F169" i="4" l="1"/>
  <c r="K169" i="4" s="1"/>
  <c r="L169" i="4" s="1"/>
  <c r="C170" i="4" s="1"/>
  <c r="O169" i="4"/>
  <c r="H169" i="4"/>
  <c r="K308" i="3"/>
  <c r="B309" i="3" s="1"/>
  <c r="N170" i="4" l="1"/>
  <c r="J170" i="4"/>
  <c r="M169" i="4"/>
  <c r="D170" i="4"/>
  <c r="E170" i="4" s="1"/>
  <c r="G170" i="4"/>
  <c r="J309" i="3"/>
  <c r="K309" i="3"/>
  <c r="B310" i="3" s="1"/>
  <c r="C309" i="3"/>
  <c r="E309" i="3"/>
  <c r="G309" i="3"/>
  <c r="L309" i="3" s="1"/>
  <c r="O309" i="3" s="1"/>
  <c r="P309" i="3" s="1"/>
  <c r="F309" i="3"/>
  <c r="D309" i="3"/>
  <c r="N309" i="3" s="1"/>
  <c r="F170" i="4" l="1"/>
  <c r="K170" i="4" s="1"/>
  <c r="L170" i="4" s="1"/>
  <c r="C171" i="4" s="1"/>
  <c r="O170" i="4"/>
  <c r="H170" i="4"/>
  <c r="P169" i="4"/>
  <c r="Q169" i="4" s="1"/>
  <c r="C310" i="3"/>
  <c r="E310" i="3"/>
  <c r="J310" i="3" s="1"/>
  <c r="K310" i="3" s="1"/>
  <c r="B311" i="3" s="1"/>
  <c r="G310" i="3"/>
  <c r="F310" i="3"/>
  <c r="D310" i="3"/>
  <c r="N310" i="3" s="1"/>
  <c r="N171" i="4" l="1"/>
  <c r="J171" i="4"/>
  <c r="M170" i="4"/>
  <c r="G171" i="4"/>
  <c r="D171" i="4"/>
  <c r="E171" i="4" s="1"/>
  <c r="C311" i="3"/>
  <c r="E311" i="3"/>
  <c r="J311" i="3" s="1"/>
  <c r="K311" i="3" s="1"/>
  <c r="B312" i="3" s="1"/>
  <c r="D311" i="3"/>
  <c r="G311" i="3"/>
  <c r="F311" i="3"/>
  <c r="L310" i="3"/>
  <c r="O310" i="3" s="1"/>
  <c r="P310" i="3" s="1"/>
  <c r="F171" i="4" l="1"/>
  <c r="K171" i="4" s="1"/>
  <c r="L171" i="4" s="1"/>
  <c r="O171" i="4"/>
  <c r="P170" i="4"/>
  <c r="Q170" i="4" s="1"/>
  <c r="H171" i="4"/>
  <c r="C312" i="3"/>
  <c r="E312" i="3"/>
  <c r="J312" i="3" s="1"/>
  <c r="D312" i="3"/>
  <c r="N312" i="3" s="1"/>
  <c r="G312" i="3"/>
  <c r="F312" i="3"/>
  <c r="N311" i="3"/>
  <c r="L311" i="3"/>
  <c r="M171" i="4" l="1"/>
  <c r="C172" i="4"/>
  <c r="K312" i="3"/>
  <c r="B313" i="3" s="1"/>
  <c r="L312" i="3"/>
  <c r="O312" i="3" s="1"/>
  <c r="P312" i="3" s="1"/>
  <c r="O311" i="3"/>
  <c r="P311" i="3" s="1"/>
  <c r="N172" i="4" l="1"/>
  <c r="J172" i="4"/>
  <c r="P171" i="4"/>
  <c r="Q171" i="4" s="1"/>
  <c r="G172" i="4"/>
  <c r="D172" i="4"/>
  <c r="E172" i="4" s="1"/>
  <c r="J313" i="3"/>
  <c r="C313" i="3"/>
  <c r="K313" i="3" s="1"/>
  <c r="B314" i="3" s="1"/>
  <c r="E313" i="3"/>
  <c r="G313" i="3"/>
  <c r="F313" i="3"/>
  <c r="D313" i="3"/>
  <c r="N313" i="3" s="1"/>
  <c r="F172" i="4" l="1"/>
  <c r="K172" i="4" s="1"/>
  <c r="L172" i="4" s="1"/>
  <c r="O172" i="4"/>
  <c r="H172" i="4"/>
  <c r="E314" i="3"/>
  <c r="J314" i="3" s="1"/>
  <c r="K314" i="3" s="1"/>
  <c r="B315" i="3" s="1"/>
  <c r="C314" i="3"/>
  <c r="G314" i="3"/>
  <c r="F314" i="3"/>
  <c r="D314" i="3"/>
  <c r="N314" i="3" s="1"/>
  <c r="L313" i="3"/>
  <c r="O313" i="3" s="1"/>
  <c r="P313" i="3" s="1"/>
  <c r="M172" i="4" l="1"/>
  <c r="C173" i="4"/>
  <c r="C315" i="3"/>
  <c r="E315" i="3"/>
  <c r="J315" i="3" s="1"/>
  <c r="K315" i="3" s="1"/>
  <c r="B316" i="3" s="1"/>
  <c r="G315" i="3"/>
  <c r="F315" i="3"/>
  <c r="D315" i="3"/>
  <c r="N315" i="3" s="1"/>
  <c r="L314" i="3"/>
  <c r="O314" i="3" s="1"/>
  <c r="P314" i="3" s="1"/>
  <c r="N173" i="4" l="1"/>
  <c r="J173" i="4"/>
  <c r="P172" i="4"/>
  <c r="Q172" i="4" s="1"/>
  <c r="G173" i="4"/>
  <c r="D173" i="4"/>
  <c r="E173" i="4" s="1"/>
  <c r="C316" i="3"/>
  <c r="E316" i="3"/>
  <c r="J316" i="3" s="1"/>
  <c r="D316" i="3"/>
  <c r="N316" i="3" s="1"/>
  <c r="G316" i="3"/>
  <c r="L316" i="3" s="1"/>
  <c r="O316" i="3" s="1"/>
  <c r="P316" i="3" s="1"/>
  <c r="F316" i="3"/>
  <c r="L315" i="3"/>
  <c r="O315" i="3" s="1"/>
  <c r="P315" i="3" s="1"/>
  <c r="F173" i="4" l="1"/>
  <c r="K173" i="4" s="1"/>
  <c r="L173" i="4" s="1"/>
  <c r="C174" i="4" s="1"/>
  <c r="O173" i="4"/>
  <c r="H173" i="4"/>
  <c r="K316" i="3"/>
  <c r="B317" i="3" s="1"/>
  <c r="J174" i="4" l="1"/>
  <c r="N174" i="4"/>
  <c r="M173" i="4"/>
  <c r="G174" i="4"/>
  <c r="D174" i="4"/>
  <c r="E174" i="4" s="1"/>
  <c r="C317" i="3"/>
  <c r="E317" i="3"/>
  <c r="J317" i="3" s="1"/>
  <c r="G317" i="3"/>
  <c r="F317" i="3"/>
  <c r="D317" i="3"/>
  <c r="N317" i="3" s="1"/>
  <c r="F174" i="4" l="1"/>
  <c r="K174" i="4" s="1"/>
  <c r="L174" i="4" s="1"/>
  <c r="O174" i="4"/>
  <c r="P173" i="4"/>
  <c r="Q173" i="4" s="1"/>
  <c r="H174" i="4"/>
  <c r="K317" i="3"/>
  <c r="B318" i="3" s="1"/>
  <c r="L317" i="3"/>
  <c r="O317" i="3" s="1"/>
  <c r="P317" i="3" s="1"/>
  <c r="M174" i="4" l="1"/>
  <c r="C175" i="4"/>
  <c r="E318" i="3"/>
  <c r="J318" i="3" s="1"/>
  <c r="K318" i="3" s="1"/>
  <c r="B319" i="3" s="1"/>
  <c r="C318" i="3"/>
  <c r="G318" i="3"/>
  <c r="L318" i="3" s="1"/>
  <c r="O318" i="3" s="1"/>
  <c r="P318" i="3" s="1"/>
  <c r="F318" i="3"/>
  <c r="D318" i="3"/>
  <c r="N318" i="3" s="1"/>
  <c r="N175" i="4" l="1"/>
  <c r="J175" i="4"/>
  <c r="P174" i="4"/>
  <c r="Q174" i="4" s="1"/>
  <c r="D175" i="4"/>
  <c r="E175" i="4" s="1"/>
  <c r="G175" i="4"/>
  <c r="C319" i="3"/>
  <c r="E319" i="3"/>
  <c r="J319" i="3" s="1"/>
  <c r="K319" i="3" s="1"/>
  <c r="B320" i="3" s="1"/>
  <c r="G319" i="3"/>
  <c r="F319" i="3"/>
  <c r="D319" i="3"/>
  <c r="N319" i="3" s="1"/>
  <c r="F175" i="4" l="1"/>
  <c r="K175" i="4" s="1"/>
  <c r="L175" i="4" s="1"/>
  <c r="C176" i="4" s="1"/>
  <c r="O175" i="4"/>
  <c r="H175" i="4"/>
  <c r="C320" i="3"/>
  <c r="E320" i="3"/>
  <c r="J320" i="3" s="1"/>
  <c r="D320" i="3"/>
  <c r="N320" i="3" s="1"/>
  <c r="G320" i="3"/>
  <c r="F320" i="3"/>
  <c r="L319" i="3"/>
  <c r="O319" i="3" s="1"/>
  <c r="P319" i="3" s="1"/>
  <c r="N176" i="4" l="1"/>
  <c r="J176" i="4"/>
  <c r="M175" i="4"/>
  <c r="D176" i="4"/>
  <c r="E176" i="4" s="1"/>
  <c r="G176" i="4"/>
  <c r="K320" i="3"/>
  <c r="B321" i="3" s="1"/>
  <c r="L320" i="3"/>
  <c r="O320" i="3" s="1"/>
  <c r="P320" i="3" s="1"/>
  <c r="F176" i="4" l="1"/>
  <c r="K176" i="4" s="1"/>
  <c r="L176" i="4" s="1"/>
  <c r="C177" i="4" s="1"/>
  <c r="O176" i="4"/>
  <c r="H176" i="4"/>
  <c r="P175" i="4"/>
  <c r="Q175" i="4" s="1"/>
  <c r="C321" i="3"/>
  <c r="E321" i="3"/>
  <c r="J321" i="3" s="1"/>
  <c r="K321" i="3" s="1"/>
  <c r="B322" i="3" s="1"/>
  <c r="G321" i="3"/>
  <c r="F321" i="3"/>
  <c r="D321" i="3"/>
  <c r="N321" i="3" s="1"/>
  <c r="N177" i="4" l="1"/>
  <c r="J177" i="4"/>
  <c r="M176" i="4"/>
  <c r="D177" i="4"/>
  <c r="E177" i="4" s="1"/>
  <c r="G177" i="4"/>
  <c r="E322" i="3"/>
  <c r="J322" i="3" s="1"/>
  <c r="C322" i="3"/>
  <c r="K322" i="3" s="1"/>
  <c r="B323" i="3" s="1"/>
  <c r="F322" i="3"/>
  <c r="D322" i="3"/>
  <c r="N322" i="3" s="1"/>
  <c r="L321" i="3"/>
  <c r="O321" i="3" s="1"/>
  <c r="P321" i="3" s="1"/>
  <c r="F177" i="4" l="1"/>
  <c r="K177" i="4" s="1"/>
  <c r="L177" i="4" s="1"/>
  <c r="C178" i="4" s="1"/>
  <c r="O177" i="4"/>
  <c r="P176" i="4"/>
  <c r="Q176" i="4" s="1"/>
  <c r="H177" i="4"/>
  <c r="C323" i="3"/>
  <c r="E323" i="3"/>
  <c r="J323" i="3" s="1"/>
  <c r="K323" i="3" s="1"/>
  <c r="B324" i="3" s="1"/>
  <c r="G323" i="3"/>
  <c r="F323" i="3"/>
  <c r="D323" i="3"/>
  <c r="N323" i="3" s="1"/>
  <c r="G322" i="3"/>
  <c r="L322" i="3" s="1"/>
  <c r="O322" i="3" s="1"/>
  <c r="P322" i="3" s="1"/>
  <c r="N178" i="4" l="1"/>
  <c r="J178" i="4"/>
  <c r="M177" i="4"/>
  <c r="G178" i="4"/>
  <c r="D178" i="4"/>
  <c r="E178" i="4" s="1"/>
  <c r="C324" i="3"/>
  <c r="E324" i="3"/>
  <c r="J324" i="3" s="1"/>
  <c r="F324" i="3"/>
  <c r="D324" i="3"/>
  <c r="N324" i="3" s="1"/>
  <c r="L323" i="3"/>
  <c r="O323" i="3" s="1"/>
  <c r="P323" i="3" s="1"/>
  <c r="F178" i="4" l="1"/>
  <c r="K178" i="4" s="1"/>
  <c r="L178" i="4" s="1"/>
  <c r="O178" i="4"/>
  <c r="P177" i="4"/>
  <c r="Q177" i="4" s="1"/>
  <c r="H178" i="4"/>
  <c r="K324" i="3"/>
  <c r="B325" i="3" s="1"/>
  <c r="G324" i="3"/>
  <c r="L324" i="3" s="1"/>
  <c r="O324" i="3" s="1"/>
  <c r="P324" i="3" s="1"/>
  <c r="M178" i="4" l="1"/>
  <c r="C179" i="4"/>
  <c r="C325" i="3"/>
  <c r="E325" i="3"/>
  <c r="J325" i="3" s="1"/>
  <c r="D325" i="3"/>
  <c r="N325" i="3" s="1"/>
  <c r="G325" i="3"/>
  <c r="F325" i="3"/>
  <c r="N179" i="4" l="1"/>
  <c r="J179" i="4"/>
  <c r="P178" i="4"/>
  <c r="Q178" i="4" s="1"/>
  <c r="D179" i="4"/>
  <c r="E179" i="4" s="1"/>
  <c r="G179" i="4"/>
  <c r="K325" i="3"/>
  <c r="B326" i="3" s="1"/>
  <c r="L325" i="3"/>
  <c r="O325" i="3" s="1"/>
  <c r="P325" i="3" s="1"/>
  <c r="F179" i="4" l="1"/>
  <c r="K179" i="4" s="1"/>
  <c r="L179" i="4" s="1"/>
  <c r="C180" i="4" s="1"/>
  <c r="O179" i="4"/>
  <c r="H179" i="4"/>
  <c r="C326" i="3"/>
  <c r="E326" i="3"/>
  <c r="J326" i="3" s="1"/>
  <c r="F326" i="3"/>
  <c r="D326" i="3"/>
  <c r="N326" i="3" s="1"/>
  <c r="N180" i="4" l="1"/>
  <c r="J180" i="4"/>
  <c r="M179" i="4"/>
  <c r="D180" i="4"/>
  <c r="E180" i="4" s="1"/>
  <c r="G180" i="4"/>
  <c r="K326" i="3"/>
  <c r="B327" i="3" s="1"/>
  <c r="G326" i="3"/>
  <c r="L326" i="3" s="1"/>
  <c r="O326" i="3" s="1"/>
  <c r="P326" i="3" s="1"/>
  <c r="F180" i="4" l="1"/>
  <c r="K180" i="4" s="1"/>
  <c r="L180" i="4" s="1"/>
  <c r="C181" i="4" s="1"/>
  <c r="O180" i="4"/>
  <c r="P179" i="4"/>
  <c r="Q179" i="4" s="1"/>
  <c r="H180" i="4"/>
  <c r="E327" i="3"/>
  <c r="J327" i="3" s="1"/>
  <c r="K327" i="3" s="1"/>
  <c r="B328" i="3" s="1"/>
  <c r="C327" i="3"/>
  <c r="G327" i="3" s="1"/>
  <c r="L327" i="3" s="1"/>
  <c r="F327" i="3"/>
  <c r="D327" i="3"/>
  <c r="N181" i="4" l="1"/>
  <c r="J181" i="4"/>
  <c r="M180" i="4"/>
  <c r="D181" i="4"/>
  <c r="E181" i="4" s="1"/>
  <c r="G181" i="4"/>
  <c r="O327" i="3"/>
  <c r="P327" i="3" s="1"/>
  <c r="C328" i="3"/>
  <c r="E328" i="3"/>
  <c r="J328" i="3" s="1"/>
  <c r="K328" i="3" s="1"/>
  <c r="B329" i="3" s="1"/>
  <c r="G328" i="3"/>
  <c r="F328" i="3"/>
  <c r="D328" i="3"/>
  <c r="N328" i="3" s="1"/>
  <c r="N327" i="3"/>
  <c r="F181" i="4" l="1"/>
  <c r="O181" i="4"/>
  <c r="P180" i="4"/>
  <c r="Q180" i="4" s="1"/>
  <c r="H181" i="4"/>
  <c r="K181" i="4"/>
  <c r="L181" i="4" s="1"/>
  <c r="C182" i="4" s="1"/>
  <c r="C329" i="3"/>
  <c r="E329" i="3"/>
  <c r="J329" i="3" s="1"/>
  <c r="K329" i="3" s="1"/>
  <c r="B330" i="3" s="1"/>
  <c r="D329" i="3"/>
  <c r="N329" i="3" s="1"/>
  <c r="G329" i="3"/>
  <c r="L329" i="3" s="1"/>
  <c r="O329" i="3" s="1"/>
  <c r="P329" i="3" s="1"/>
  <c r="F329" i="3"/>
  <c r="L328" i="3"/>
  <c r="O328" i="3" s="1"/>
  <c r="P328" i="3" s="1"/>
  <c r="J182" i="4" l="1"/>
  <c r="N182" i="4"/>
  <c r="M181" i="4"/>
  <c r="G182" i="4"/>
  <c r="D182" i="4"/>
  <c r="E182" i="4" s="1"/>
  <c r="C330" i="3"/>
  <c r="E330" i="3"/>
  <c r="J330" i="3" s="1"/>
  <c r="G330" i="3"/>
  <c r="F330" i="3"/>
  <c r="D330" i="3"/>
  <c r="N330" i="3" s="1"/>
  <c r="F182" i="4" l="1"/>
  <c r="K182" i="4" s="1"/>
  <c r="L182" i="4" s="1"/>
  <c r="O182" i="4"/>
  <c r="P181" i="4"/>
  <c r="Q181" i="4" s="1"/>
  <c r="H182" i="4"/>
  <c r="K330" i="3"/>
  <c r="B331" i="3" s="1"/>
  <c r="L330" i="3"/>
  <c r="O330" i="3" s="1"/>
  <c r="P330" i="3" s="1"/>
  <c r="M182" i="4" l="1"/>
  <c r="C183" i="4"/>
  <c r="C331" i="3"/>
  <c r="E331" i="3"/>
  <c r="J331" i="3" s="1"/>
  <c r="F331" i="3"/>
  <c r="D331" i="3"/>
  <c r="N331" i="3" s="1"/>
  <c r="N183" i="4" l="1"/>
  <c r="J183" i="4"/>
  <c r="P182" i="4"/>
  <c r="Q182" i="4" s="1"/>
  <c r="G183" i="4"/>
  <c r="D183" i="4"/>
  <c r="E183" i="4" s="1"/>
  <c r="K331" i="3"/>
  <c r="B332" i="3" s="1"/>
  <c r="G331" i="3"/>
  <c r="L331" i="3" s="1"/>
  <c r="O331" i="3" s="1"/>
  <c r="P331" i="3" s="1"/>
  <c r="F183" i="4" l="1"/>
  <c r="K183" i="4" s="1"/>
  <c r="L183" i="4" s="1"/>
  <c r="O183" i="4"/>
  <c r="H183" i="4"/>
  <c r="C332" i="3"/>
  <c r="E332" i="3"/>
  <c r="J332" i="3" s="1"/>
  <c r="F332" i="3"/>
  <c r="D332" i="3"/>
  <c r="N332" i="3" s="1"/>
  <c r="M183" i="4" l="1"/>
  <c r="C184" i="4"/>
  <c r="K332" i="3"/>
  <c r="B333" i="3" s="1"/>
  <c r="G332" i="3"/>
  <c r="L332" i="3" s="1"/>
  <c r="O332" i="3" s="1"/>
  <c r="P332" i="3" s="1"/>
  <c r="N184" i="4" l="1"/>
  <c r="J184" i="4"/>
  <c r="P183" i="4"/>
  <c r="Q183" i="4" s="1"/>
  <c r="G184" i="4"/>
  <c r="D184" i="4"/>
  <c r="E184" i="4" s="1"/>
  <c r="C333" i="3"/>
  <c r="K333" i="3" s="1"/>
  <c r="B334" i="3" s="1"/>
  <c r="E333" i="3"/>
  <c r="J333" i="3" s="1"/>
  <c r="D333" i="3"/>
  <c r="N333" i="3" s="1"/>
  <c r="G333" i="3"/>
  <c r="F333" i="3"/>
  <c r="F184" i="4" l="1"/>
  <c r="K184" i="4" s="1"/>
  <c r="L184" i="4" s="1"/>
  <c r="O184" i="4"/>
  <c r="H184" i="4"/>
  <c r="C334" i="3"/>
  <c r="E334" i="3"/>
  <c r="J334" i="3" s="1"/>
  <c r="K334" i="3" s="1"/>
  <c r="B335" i="3" s="1"/>
  <c r="G334" i="3"/>
  <c r="L334" i="3" s="1"/>
  <c r="O334" i="3" s="1"/>
  <c r="P334" i="3" s="1"/>
  <c r="F334" i="3"/>
  <c r="D334" i="3"/>
  <c r="N334" i="3" s="1"/>
  <c r="L333" i="3"/>
  <c r="O333" i="3" s="1"/>
  <c r="P333" i="3" s="1"/>
  <c r="M184" i="4" l="1"/>
  <c r="C185" i="4"/>
  <c r="E335" i="3"/>
  <c r="J335" i="3" s="1"/>
  <c r="C335" i="3"/>
  <c r="F335" i="3"/>
  <c r="D335" i="3"/>
  <c r="N335" i="3" s="1"/>
  <c r="N185" i="4" l="1"/>
  <c r="J185" i="4"/>
  <c r="P184" i="4"/>
  <c r="Q184" i="4" s="1"/>
  <c r="G185" i="4"/>
  <c r="D185" i="4"/>
  <c r="E185" i="4" s="1"/>
  <c r="K335" i="3"/>
  <c r="B336" i="3" s="1"/>
  <c r="G335" i="3"/>
  <c r="L335" i="3" s="1"/>
  <c r="O335" i="3" s="1"/>
  <c r="P335" i="3" s="1"/>
  <c r="F185" i="4" l="1"/>
  <c r="K185" i="4" s="1"/>
  <c r="L185" i="4" s="1"/>
  <c r="C186" i="4" s="1"/>
  <c r="O185" i="4"/>
  <c r="H185" i="4"/>
  <c r="C336" i="3"/>
  <c r="K336" i="3" s="1"/>
  <c r="B337" i="3" s="1"/>
  <c r="E336" i="3"/>
  <c r="J336" i="3"/>
  <c r="G336" i="3"/>
  <c r="F336" i="3"/>
  <c r="D336" i="3"/>
  <c r="N336" i="3" s="1"/>
  <c r="N186" i="4" l="1"/>
  <c r="J186" i="4"/>
  <c r="M185" i="4"/>
  <c r="G186" i="4"/>
  <c r="D186" i="4"/>
  <c r="E186" i="4" s="1"/>
  <c r="C337" i="3"/>
  <c r="E337" i="3"/>
  <c r="J337" i="3" s="1"/>
  <c r="K337" i="3" s="1"/>
  <c r="B338" i="3" s="1"/>
  <c r="G337" i="3"/>
  <c r="F337" i="3"/>
  <c r="D337" i="3"/>
  <c r="N337" i="3" s="1"/>
  <c r="L336" i="3"/>
  <c r="O336" i="3" s="1"/>
  <c r="P336" i="3" s="1"/>
  <c r="F186" i="4" l="1"/>
  <c r="K186" i="4" s="1"/>
  <c r="L186" i="4" s="1"/>
  <c r="O186" i="4"/>
  <c r="P185" i="4"/>
  <c r="Q185" i="4" s="1"/>
  <c r="H186" i="4"/>
  <c r="C338" i="3"/>
  <c r="E338" i="3"/>
  <c r="J338" i="3" s="1"/>
  <c r="D338" i="3"/>
  <c r="N338" i="3" s="1"/>
  <c r="G338" i="3"/>
  <c r="F338" i="3"/>
  <c r="L337" i="3"/>
  <c r="O337" i="3" s="1"/>
  <c r="P337" i="3" s="1"/>
  <c r="M186" i="4" l="1"/>
  <c r="C187" i="4"/>
  <c r="K338" i="3"/>
  <c r="B339" i="3" s="1"/>
  <c r="L338" i="3"/>
  <c r="O338" i="3" s="1"/>
  <c r="P338" i="3" s="1"/>
  <c r="N187" i="4" l="1"/>
  <c r="J187" i="4"/>
  <c r="P186" i="4"/>
  <c r="Q186" i="4" s="1"/>
  <c r="G187" i="4"/>
  <c r="D187" i="4"/>
  <c r="E187" i="4" s="1"/>
  <c r="C339" i="3"/>
  <c r="E339" i="3"/>
  <c r="J339" i="3" s="1"/>
  <c r="K339" i="3" s="1"/>
  <c r="B340" i="3" s="1"/>
  <c r="G339" i="3"/>
  <c r="F339" i="3"/>
  <c r="D339" i="3"/>
  <c r="N339" i="3" s="1"/>
  <c r="F187" i="4" l="1"/>
  <c r="K187" i="4" s="1"/>
  <c r="L187" i="4" s="1"/>
  <c r="O187" i="4"/>
  <c r="H187" i="4"/>
  <c r="C340" i="3"/>
  <c r="E340" i="3"/>
  <c r="J340" i="3" s="1"/>
  <c r="K340" i="3" s="1"/>
  <c r="B341" i="3" s="1"/>
  <c r="G340" i="3"/>
  <c r="F340" i="3"/>
  <c r="D340" i="3"/>
  <c r="N340" i="3" s="1"/>
  <c r="L339" i="3"/>
  <c r="O339" i="3" s="1"/>
  <c r="P339" i="3" s="1"/>
  <c r="M187" i="4" l="1"/>
  <c r="P187" i="4" s="1"/>
  <c r="Q187" i="4" s="1"/>
  <c r="C188" i="4"/>
  <c r="C341" i="3"/>
  <c r="E341" i="3"/>
  <c r="J341" i="3" s="1"/>
  <c r="G341" i="3"/>
  <c r="F341" i="3"/>
  <c r="D341" i="3"/>
  <c r="N341" i="3" s="1"/>
  <c r="L340" i="3"/>
  <c r="O340" i="3" s="1"/>
  <c r="P340" i="3" s="1"/>
  <c r="N188" i="4" l="1"/>
  <c r="J188" i="4"/>
  <c r="G188" i="4"/>
  <c r="D188" i="4"/>
  <c r="E188" i="4" s="1"/>
  <c r="K341" i="3"/>
  <c r="B342" i="3" s="1"/>
  <c r="L341" i="3"/>
  <c r="O341" i="3" s="1"/>
  <c r="P341" i="3" s="1"/>
  <c r="F188" i="4" l="1"/>
  <c r="K188" i="4" s="1"/>
  <c r="L188" i="4" s="1"/>
  <c r="O188" i="4"/>
  <c r="H188" i="4"/>
  <c r="C342" i="3"/>
  <c r="E342" i="3"/>
  <c r="J342" i="3"/>
  <c r="K342" i="3"/>
  <c r="B343" i="3" s="1"/>
  <c r="D342" i="3"/>
  <c r="N342" i="3" s="1"/>
  <c r="G342" i="3"/>
  <c r="F342" i="3"/>
  <c r="M188" i="4" l="1"/>
  <c r="C189" i="4"/>
  <c r="L342" i="3"/>
  <c r="O342" i="3" s="1"/>
  <c r="P342" i="3" s="1"/>
  <c r="E343" i="3"/>
  <c r="J343" i="3" s="1"/>
  <c r="C343" i="3"/>
  <c r="K343" i="3" s="1"/>
  <c r="B344" i="3" s="1"/>
  <c r="F343" i="3"/>
  <c r="D343" i="3"/>
  <c r="N189" i="4" l="1"/>
  <c r="J189" i="4"/>
  <c r="P188" i="4"/>
  <c r="Q188" i="4" s="1"/>
  <c r="G189" i="4"/>
  <c r="D189" i="4"/>
  <c r="E189" i="4" s="1"/>
  <c r="C344" i="3"/>
  <c r="E344" i="3"/>
  <c r="J344" i="3" s="1"/>
  <c r="F344" i="3"/>
  <c r="D344" i="3"/>
  <c r="N344" i="3" s="1"/>
  <c r="G343" i="3"/>
  <c r="L343" i="3" s="1"/>
  <c r="O343" i="3" s="1"/>
  <c r="P343" i="3" s="1"/>
  <c r="N343" i="3"/>
  <c r="F189" i="4" l="1"/>
  <c r="K189" i="4" s="1"/>
  <c r="L189" i="4" s="1"/>
  <c r="O189" i="4"/>
  <c r="H189" i="4"/>
  <c r="K344" i="3"/>
  <c r="B345" i="3" s="1"/>
  <c r="G344" i="3"/>
  <c r="L344" i="3" s="1"/>
  <c r="O344" i="3" s="1"/>
  <c r="P344" i="3" s="1"/>
  <c r="M189" i="4" l="1"/>
  <c r="C190" i="4"/>
  <c r="C345" i="3"/>
  <c r="E345" i="3"/>
  <c r="J345" i="3" s="1"/>
  <c r="K345" i="3" s="1"/>
  <c r="B346" i="3" s="1"/>
  <c r="G345" i="3"/>
  <c r="L345" i="3" s="1"/>
  <c r="O345" i="3" s="1"/>
  <c r="P345" i="3" s="1"/>
  <c r="F345" i="3"/>
  <c r="D345" i="3"/>
  <c r="N345" i="3" s="1"/>
  <c r="J190" i="4" l="1"/>
  <c r="N190" i="4"/>
  <c r="P189" i="4"/>
  <c r="Q189" i="4" s="1"/>
  <c r="G190" i="4"/>
  <c r="D190" i="4"/>
  <c r="E190" i="4" s="1"/>
  <c r="C346" i="3"/>
  <c r="E346" i="3"/>
  <c r="J346" i="3" s="1"/>
  <c r="D346" i="3"/>
  <c r="N346" i="3" s="1"/>
  <c r="G346" i="3"/>
  <c r="F346" i="3"/>
  <c r="F190" i="4" l="1"/>
  <c r="O190" i="4"/>
  <c r="H190" i="4"/>
  <c r="K346" i="3"/>
  <c r="B347" i="3" s="1"/>
  <c r="L346" i="3"/>
  <c r="O346" i="3" s="1"/>
  <c r="P346" i="3" s="1"/>
  <c r="K190" i="4" l="1"/>
  <c r="L190" i="4" s="1"/>
  <c r="C191" i="4" s="1"/>
  <c r="C347" i="3"/>
  <c r="E347" i="3"/>
  <c r="J347" i="3" s="1"/>
  <c r="K347" i="3" s="1"/>
  <c r="B348" i="3" s="1"/>
  <c r="G347" i="3"/>
  <c r="F347" i="3"/>
  <c r="D347" i="3"/>
  <c r="N347" i="3" s="1"/>
  <c r="N191" i="4" l="1"/>
  <c r="J191" i="4"/>
  <c r="M190" i="4"/>
  <c r="P190" i="4" s="1"/>
  <c r="Q190" i="4" s="1"/>
  <c r="D191" i="4"/>
  <c r="E191" i="4" s="1"/>
  <c r="G191" i="4"/>
  <c r="C348" i="3"/>
  <c r="E348" i="3"/>
  <c r="J348" i="3" s="1"/>
  <c r="K348" i="3" s="1"/>
  <c r="B349" i="3" s="1"/>
  <c r="G348" i="3"/>
  <c r="F348" i="3"/>
  <c r="D348" i="3"/>
  <c r="N348" i="3" s="1"/>
  <c r="L347" i="3"/>
  <c r="O347" i="3" s="1"/>
  <c r="P347" i="3" s="1"/>
  <c r="F191" i="4" l="1"/>
  <c r="K191" i="4" s="1"/>
  <c r="L191" i="4" s="1"/>
  <c r="C192" i="4" s="1"/>
  <c r="O191" i="4"/>
  <c r="H191" i="4"/>
  <c r="C349" i="3"/>
  <c r="E349" i="3"/>
  <c r="J349" i="3" s="1"/>
  <c r="G349" i="3"/>
  <c r="F349" i="3"/>
  <c r="D349" i="3"/>
  <c r="N349" i="3" s="1"/>
  <c r="L348" i="3"/>
  <c r="O348" i="3" s="1"/>
  <c r="P348" i="3" s="1"/>
  <c r="N192" i="4" l="1"/>
  <c r="J192" i="4"/>
  <c r="M191" i="4"/>
  <c r="G192" i="4"/>
  <c r="D192" i="4"/>
  <c r="E192" i="4" s="1"/>
  <c r="K349" i="3"/>
  <c r="B350" i="3" s="1"/>
  <c r="L349" i="3"/>
  <c r="O349" i="3" s="1"/>
  <c r="P349" i="3" s="1"/>
  <c r="F192" i="4" l="1"/>
  <c r="K192" i="4" s="1"/>
  <c r="L192" i="4" s="1"/>
  <c r="O192" i="4"/>
  <c r="P191" i="4"/>
  <c r="Q191" i="4" s="1"/>
  <c r="H192" i="4"/>
  <c r="C350" i="3"/>
  <c r="E350" i="3"/>
  <c r="J350" i="3" s="1"/>
  <c r="K350" i="3" s="1"/>
  <c r="B351" i="3" s="1"/>
  <c r="G350" i="3"/>
  <c r="L350" i="3" s="1"/>
  <c r="O350" i="3" s="1"/>
  <c r="P350" i="3" s="1"/>
  <c r="F350" i="3"/>
  <c r="D350" i="3"/>
  <c r="N350" i="3" s="1"/>
  <c r="M192" i="4" l="1"/>
  <c r="C193" i="4"/>
  <c r="E351" i="3"/>
  <c r="J351" i="3" s="1"/>
  <c r="C351" i="3"/>
  <c r="K351" i="3" s="1"/>
  <c r="B352" i="3" s="1"/>
  <c r="D351" i="3"/>
  <c r="N351" i="3" s="1"/>
  <c r="G351" i="3"/>
  <c r="F351" i="3"/>
  <c r="N193" i="4" l="1"/>
  <c r="J193" i="4"/>
  <c r="P192" i="4"/>
  <c r="Q192" i="4" s="1"/>
  <c r="D193" i="4"/>
  <c r="E193" i="4" s="1"/>
  <c r="G193" i="4"/>
  <c r="C352" i="3"/>
  <c r="E352" i="3"/>
  <c r="J352" i="3" s="1"/>
  <c r="K352" i="3" s="1"/>
  <c r="B353" i="3" s="1"/>
  <c r="G352" i="3"/>
  <c r="F352" i="3"/>
  <c r="D352" i="3"/>
  <c r="N352" i="3" s="1"/>
  <c r="L351" i="3"/>
  <c r="O351" i="3" s="1"/>
  <c r="P351" i="3" s="1"/>
  <c r="F193" i="4" l="1"/>
  <c r="K193" i="4" s="1"/>
  <c r="L193" i="4" s="1"/>
  <c r="C194" i="4" s="1"/>
  <c r="O193" i="4"/>
  <c r="H193" i="4"/>
  <c r="C353" i="3"/>
  <c r="E353" i="3"/>
  <c r="J353" i="3"/>
  <c r="K353" i="3"/>
  <c r="B354" i="3" s="1"/>
  <c r="G353" i="3"/>
  <c r="F353" i="3"/>
  <c r="D353" i="3"/>
  <c r="N353" i="3" s="1"/>
  <c r="L352" i="3"/>
  <c r="O352" i="3" s="1"/>
  <c r="P352" i="3" s="1"/>
  <c r="N194" i="4" l="1"/>
  <c r="J194" i="4"/>
  <c r="M193" i="4"/>
  <c r="G194" i="4"/>
  <c r="D194" i="4"/>
  <c r="E194" i="4" s="1"/>
  <c r="L353" i="3"/>
  <c r="O353" i="3" s="1"/>
  <c r="P353" i="3" s="1"/>
  <c r="C354" i="3"/>
  <c r="K354" i="3" s="1"/>
  <c r="B355" i="3" s="1"/>
  <c r="E354" i="3"/>
  <c r="J354" i="3" s="1"/>
  <c r="F354" i="3"/>
  <c r="D354" i="3"/>
  <c r="N354" i="3" s="1"/>
  <c r="F194" i="4" l="1"/>
  <c r="K194" i="4" s="1"/>
  <c r="L194" i="4" s="1"/>
  <c r="C195" i="4" s="1"/>
  <c r="O194" i="4"/>
  <c r="P193" i="4"/>
  <c r="Q193" i="4" s="1"/>
  <c r="H194" i="4"/>
  <c r="C355" i="3"/>
  <c r="E355" i="3"/>
  <c r="J355" i="3"/>
  <c r="K355" i="3"/>
  <c r="B356" i="3" s="1"/>
  <c r="D355" i="3"/>
  <c r="G355" i="3"/>
  <c r="F355" i="3"/>
  <c r="G354" i="3"/>
  <c r="L354" i="3" s="1"/>
  <c r="O354" i="3" s="1"/>
  <c r="P354" i="3" s="1"/>
  <c r="N195" i="4" l="1"/>
  <c r="J195" i="4"/>
  <c r="M194" i="4"/>
  <c r="G195" i="4"/>
  <c r="D195" i="4"/>
  <c r="E195" i="4" s="1"/>
  <c r="L355" i="3"/>
  <c r="O355" i="3" s="1"/>
  <c r="P355" i="3" s="1"/>
  <c r="N355" i="3"/>
  <c r="C356" i="3"/>
  <c r="E356" i="3"/>
  <c r="J356" i="3" s="1"/>
  <c r="K356" i="3" s="1"/>
  <c r="B357" i="3" s="1"/>
  <c r="G356" i="3"/>
  <c r="F356" i="3"/>
  <c r="D356" i="3"/>
  <c r="N356" i="3" s="1"/>
  <c r="F195" i="4" l="1"/>
  <c r="K195" i="4" s="1"/>
  <c r="L195" i="4" s="1"/>
  <c r="O195" i="4"/>
  <c r="P194" i="4"/>
  <c r="Q194" i="4" s="1"/>
  <c r="H195" i="4"/>
  <c r="C357" i="3"/>
  <c r="E357" i="3"/>
  <c r="J357" i="3" s="1"/>
  <c r="G357" i="3"/>
  <c r="F357" i="3"/>
  <c r="D357" i="3"/>
  <c r="N357" i="3" s="1"/>
  <c r="L356" i="3"/>
  <c r="O356" i="3" s="1"/>
  <c r="P356" i="3" s="1"/>
  <c r="M195" i="4" l="1"/>
  <c r="C196" i="4"/>
  <c r="K357" i="3"/>
  <c r="B358" i="3" s="1"/>
  <c r="L357" i="3"/>
  <c r="O357" i="3" s="1"/>
  <c r="P357" i="3" s="1"/>
  <c r="N196" i="4" l="1"/>
  <c r="J196" i="4"/>
  <c r="P195" i="4"/>
  <c r="Q195" i="4" s="1"/>
  <c r="D196" i="4"/>
  <c r="E196" i="4" s="1"/>
  <c r="G196" i="4"/>
  <c r="C358" i="3"/>
  <c r="K358" i="3" s="1"/>
  <c r="B359" i="3" s="1"/>
  <c r="E358" i="3"/>
  <c r="J358" i="3"/>
  <c r="F358" i="3"/>
  <c r="D358" i="3"/>
  <c r="N358" i="3" s="1"/>
  <c r="F196" i="4" l="1"/>
  <c r="K196" i="4" s="1"/>
  <c r="L196" i="4" s="1"/>
  <c r="C197" i="4" s="1"/>
  <c r="O196" i="4"/>
  <c r="H196" i="4"/>
  <c r="E359" i="3"/>
  <c r="J359" i="3" s="1"/>
  <c r="C359" i="3"/>
  <c r="K359" i="3" s="1"/>
  <c r="B360" i="3" s="1"/>
  <c r="D359" i="3"/>
  <c r="N359" i="3" s="1"/>
  <c r="G359" i="3"/>
  <c r="F359" i="3"/>
  <c r="G358" i="3"/>
  <c r="L358" i="3" s="1"/>
  <c r="O358" i="3" s="1"/>
  <c r="P358" i="3" s="1"/>
  <c r="N197" i="4" l="1"/>
  <c r="J197" i="4"/>
  <c r="M196" i="4"/>
  <c r="G197" i="4"/>
  <c r="D197" i="4"/>
  <c r="E197" i="4" s="1"/>
  <c r="C360" i="3"/>
  <c r="E360" i="3"/>
  <c r="J360" i="3" s="1"/>
  <c r="K360" i="3" s="1"/>
  <c r="B361" i="3" s="1"/>
  <c r="D360" i="3"/>
  <c r="N360" i="3" s="1"/>
  <c r="G360" i="3"/>
  <c r="F360" i="3"/>
  <c r="L359" i="3"/>
  <c r="O359" i="3" s="1"/>
  <c r="P359" i="3" s="1"/>
  <c r="F197" i="4" l="1"/>
  <c r="K197" i="4" s="1"/>
  <c r="L197" i="4" s="1"/>
  <c r="C198" i="4" s="1"/>
  <c r="O197" i="4"/>
  <c r="H197" i="4"/>
  <c r="P196" i="4"/>
  <c r="Q196" i="4" s="1"/>
  <c r="C361" i="3"/>
  <c r="E361" i="3"/>
  <c r="J361" i="3" s="1"/>
  <c r="K361" i="3" s="1"/>
  <c r="B362" i="3" s="1"/>
  <c r="G361" i="3"/>
  <c r="L361" i="3" s="1"/>
  <c r="O361" i="3" s="1"/>
  <c r="P361" i="3" s="1"/>
  <c r="F361" i="3"/>
  <c r="D361" i="3"/>
  <c r="N361" i="3" s="1"/>
  <c r="L360" i="3"/>
  <c r="O360" i="3" s="1"/>
  <c r="P360" i="3" s="1"/>
  <c r="J198" i="4" l="1"/>
  <c r="N198" i="4"/>
  <c r="M197" i="4"/>
  <c r="D198" i="4"/>
  <c r="E198" i="4" s="1"/>
  <c r="G198" i="4"/>
  <c r="C362" i="3"/>
  <c r="E362" i="3"/>
  <c r="J362" i="3" s="1"/>
  <c r="G362" i="3"/>
  <c r="F362" i="3"/>
  <c r="D362" i="3"/>
  <c r="N362" i="3" s="1"/>
  <c r="F198" i="4" l="1"/>
  <c r="K198" i="4" s="1"/>
  <c r="L198" i="4" s="1"/>
  <c r="O198" i="4"/>
  <c r="H198" i="4"/>
  <c r="P197" i="4"/>
  <c r="Q197" i="4" s="1"/>
  <c r="K362" i="3"/>
  <c r="B363" i="3" s="1"/>
  <c r="L362" i="3"/>
  <c r="O362" i="3" s="1"/>
  <c r="P362" i="3" s="1"/>
  <c r="M198" i="4" l="1"/>
  <c r="C199" i="4"/>
  <c r="C363" i="3"/>
  <c r="E363" i="3"/>
  <c r="J363" i="3" s="1"/>
  <c r="K363" i="3" s="1"/>
  <c r="B364" i="3" s="1"/>
  <c r="G363" i="3"/>
  <c r="F363" i="3"/>
  <c r="D363" i="3"/>
  <c r="N363" i="3" s="1"/>
  <c r="N199" i="4" l="1"/>
  <c r="J199" i="4"/>
  <c r="P198" i="4"/>
  <c r="Q198" i="4" s="1"/>
  <c r="G199" i="4"/>
  <c r="D199" i="4"/>
  <c r="E199" i="4" s="1"/>
  <c r="C364" i="3"/>
  <c r="E364" i="3"/>
  <c r="J364" i="3" s="1"/>
  <c r="K364" i="3" s="1"/>
  <c r="B365" i="3" s="1"/>
  <c r="D364" i="3"/>
  <c r="N364" i="3" s="1"/>
  <c r="G364" i="3"/>
  <c r="F364" i="3"/>
  <c r="L363" i="3"/>
  <c r="O363" i="3" s="1"/>
  <c r="P363" i="3" s="1"/>
  <c r="F199" i="4" l="1"/>
  <c r="K199" i="4" s="1"/>
  <c r="L199" i="4" s="1"/>
  <c r="C200" i="4" s="1"/>
  <c r="O199" i="4"/>
  <c r="H199" i="4"/>
  <c r="C365" i="3"/>
  <c r="E365" i="3"/>
  <c r="J365" i="3" s="1"/>
  <c r="G365" i="3"/>
  <c r="F365" i="3"/>
  <c r="D365" i="3"/>
  <c r="N365" i="3" s="1"/>
  <c r="L364" i="3"/>
  <c r="O364" i="3" s="1"/>
  <c r="P364" i="3" s="1"/>
  <c r="N200" i="4" l="1"/>
  <c r="J200" i="4"/>
  <c r="M199" i="4"/>
  <c r="G200" i="4"/>
  <c r="D200" i="4"/>
  <c r="E200" i="4" s="1"/>
  <c r="K365" i="3"/>
  <c r="B366" i="3" s="1"/>
  <c r="L365" i="3"/>
  <c r="O365" i="3" s="1"/>
  <c r="P365" i="3" s="1"/>
  <c r="F200" i="4" l="1"/>
  <c r="K200" i="4" s="1"/>
  <c r="L200" i="4" s="1"/>
  <c r="C201" i="4" s="1"/>
  <c r="O200" i="4"/>
  <c r="P199" i="4"/>
  <c r="Q199" i="4" s="1"/>
  <c r="H200" i="4"/>
  <c r="C366" i="3"/>
  <c r="E366" i="3"/>
  <c r="J366" i="3" s="1"/>
  <c r="K366" i="3" s="1"/>
  <c r="B367" i="3" s="1"/>
  <c r="G366" i="3"/>
  <c r="F366" i="3"/>
  <c r="D366" i="3"/>
  <c r="N366" i="3" s="1"/>
  <c r="N201" i="4" l="1"/>
  <c r="J201" i="4"/>
  <c r="M200" i="4"/>
  <c r="D201" i="4"/>
  <c r="E201" i="4" s="1"/>
  <c r="G201" i="4"/>
  <c r="E367" i="3"/>
  <c r="J367" i="3" s="1"/>
  <c r="C367" i="3"/>
  <c r="K367" i="3" s="1"/>
  <c r="B368" i="3" s="1"/>
  <c r="G367" i="3"/>
  <c r="F367" i="3"/>
  <c r="D367" i="3"/>
  <c r="N367" i="3" s="1"/>
  <c r="L366" i="3"/>
  <c r="O366" i="3" s="1"/>
  <c r="P366" i="3" s="1"/>
  <c r="F201" i="4" l="1"/>
  <c r="K201" i="4" s="1"/>
  <c r="L201" i="4" s="1"/>
  <c r="C202" i="4" s="1"/>
  <c r="O201" i="4"/>
  <c r="H201" i="4"/>
  <c r="P200" i="4"/>
  <c r="Q200" i="4" s="1"/>
  <c r="C368" i="3"/>
  <c r="E368" i="3"/>
  <c r="J368" i="3" s="1"/>
  <c r="K368" i="3" s="1"/>
  <c r="B369" i="3" s="1"/>
  <c r="D368" i="3"/>
  <c r="N368" i="3" s="1"/>
  <c r="G368" i="3"/>
  <c r="F368" i="3"/>
  <c r="L367" i="3"/>
  <c r="O367" i="3" s="1"/>
  <c r="P367" i="3" s="1"/>
  <c r="N202" i="4" l="1"/>
  <c r="J202" i="4"/>
  <c r="M201" i="4"/>
  <c r="G202" i="4"/>
  <c r="D202" i="4"/>
  <c r="E202" i="4" s="1"/>
  <c r="C369" i="3"/>
  <c r="E369" i="3"/>
  <c r="J369" i="3" s="1"/>
  <c r="K369" i="3" s="1"/>
  <c r="B370" i="3" s="1"/>
  <c r="G369" i="3"/>
  <c r="F369" i="3"/>
  <c r="D369" i="3"/>
  <c r="N369" i="3" s="1"/>
  <c r="L368" i="3"/>
  <c r="O368" i="3" s="1"/>
  <c r="P368" i="3" s="1"/>
  <c r="F202" i="4" l="1"/>
  <c r="K202" i="4" s="1"/>
  <c r="L202" i="4" s="1"/>
  <c r="O202" i="4"/>
  <c r="P201" i="4"/>
  <c r="Q201" i="4" s="1"/>
  <c r="H202" i="4"/>
  <c r="C370" i="3"/>
  <c r="G370" i="3" s="1"/>
  <c r="L370" i="3" s="1"/>
  <c r="O370" i="3" s="1"/>
  <c r="P370" i="3" s="1"/>
  <c r="E370" i="3"/>
  <c r="J370" i="3" s="1"/>
  <c r="F370" i="3"/>
  <c r="D370" i="3"/>
  <c r="N370" i="3" s="1"/>
  <c r="L369" i="3"/>
  <c r="O369" i="3" s="1"/>
  <c r="P369" i="3" s="1"/>
  <c r="M202" i="4" l="1"/>
  <c r="C203" i="4"/>
  <c r="K370" i="3"/>
  <c r="B371" i="3" s="1"/>
  <c r="N203" i="4" l="1"/>
  <c r="J203" i="4"/>
  <c r="P202" i="4"/>
  <c r="Q202" i="4" s="1"/>
  <c r="D203" i="4"/>
  <c r="E203" i="4" s="1"/>
  <c r="G203" i="4"/>
  <c r="C371" i="3"/>
  <c r="E371" i="3"/>
  <c r="J371" i="3" s="1"/>
  <c r="K371" i="3" s="1"/>
  <c r="B372" i="3" s="1"/>
  <c r="F371" i="3"/>
  <c r="D371" i="3"/>
  <c r="N371" i="3" s="1"/>
  <c r="G371" i="3"/>
  <c r="F203" i="4" l="1"/>
  <c r="K203" i="4" s="1"/>
  <c r="L203" i="4" s="1"/>
  <c r="C204" i="4" s="1"/>
  <c r="O203" i="4"/>
  <c r="H203" i="4"/>
  <c r="K372" i="3"/>
  <c r="B373" i="3" s="1"/>
  <c r="C372" i="3"/>
  <c r="G372" i="3"/>
  <c r="F372" i="3"/>
  <c r="E372" i="3"/>
  <c r="D372" i="3"/>
  <c r="J372" i="3"/>
  <c r="L371" i="3"/>
  <c r="O371" i="3" s="1"/>
  <c r="P371" i="3" s="1"/>
  <c r="N204" i="4" l="1"/>
  <c r="J204" i="4"/>
  <c r="M203" i="4"/>
  <c r="D204" i="4"/>
  <c r="E204" i="4" s="1"/>
  <c r="G204" i="4"/>
  <c r="L372" i="3"/>
  <c r="K373" i="3"/>
  <c r="B374" i="3" s="1"/>
  <c r="J373" i="3"/>
  <c r="C373" i="3"/>
  <c r="G373" i="3"/>
  <c r="L373" i="3" s="1"/>
  <c r="F373" i="3"/>
  <c r="E373" i="3"/>
  <c r="D373" i="3"/>
  <c r="F204" i="4" l="1"/>
  <c r="K204" i="4" s="1"/>
  <c r="L204" i="4" s="1"/>
  <c r="C205" i="4" s="1"/>
  <c r="O204" i="4"/>
  <c r="P203" i="4"/>
  <c r="Q203" i="4" s="1"/>
  <c r="H204" i="4"/>
  <c r="K374" i="3"/>
  <c r="B375" i="3" s="1"/>
  <c r="J374" i="3"/>
  <c r="C374" i="3"/>
  <c r="G374" i="3"/>
  <c r="F374" i="3"/>
  <c r="E374" i="3"/>
  <c r="D374" i="3"/>
  <c r="N205" i="4" l="1"/>
  <c r="J205" i="4"/>
  <c r="M204" i="4"/>
  <c r="G205" i="4"/>
  <c r="D205" i="4"/>
  <c r="E205" i="4" s="1"/>
  <c r="K375" i="3"/>
  <c r="B376" i="3" s="1"/>
  <c r="D375" i="3"/>
  <c r="J375" i="3"/>
  <c r="C375" i="3"/>
  <c r="G375" i="3"/>
  <c r="L375" i="3" s="1"/>
  <c r="F375" i="3"/>
  <c r="E375" i="3"/>
  <c r="L374" i="3"/>
  <c r="F205" i="4" l="1"/>
  <c r="K205" i="4" s="1"/>
  <c r="L205" i="4" s="1"/>
  <c r="O205" i="4"/>
  <c r="H205" i="4"/>
  <c r="P204" i="4"/>
  <c r="Q204" i="4" s="1"/>
  <c r="K376" i="3"/>
  <c r="B377" i="3" s="1"/>
  <c r="E376" i="3"/>
  <c r="D376" i="3"/>
  <c r="J376" i="3"/>
  <c r="C376" i="3"/>
  <c r="G376" i="3"/>
  <c r="F376" i="3"/>
  <c r="M205" i="4" l="1"/>
  <c r="C206" i="4"/>
  <c r="L376" i="3"/>
  <c r="K377" i="3"/>
  <c r="B378" i="3" s="1"/>
  <c r="F377" i="3"/>
  <c r="E377" i="3"/>
  <c r="D377" i="3"/>
  <c r="J377" i="3"/>
  <c r="C377" i="3"/>
  <c r="G377" i="3"/>
  <c r="L377" i="3" s="1"/>
  <c r="J206" i="4" l="1"/>
  <c r="N206" i="4"/>
  <c r="P205" i="4"/>
  <c r="Q205" i="4" s="1"/>
  <c r="G206" i="4"/>
  <c r="D206" i="4"/>
  <c r="E206" i="4" s="1"/>
  <c r="K378" i="3"/>
  <c r="B379" i="3" s="1"/>
  <c r="G378" i="3"/>
  <c r="L378" i="3" s="1"/>
  <c r="F378" i="3"/>
  <c r="E378" i="3"/>
  <c r="D378" i="3"/>
  <c r="J378" i="3"/>
  <c r="C378" i="3"/>
  <c r="F206" i="4" l="1"/>
  <c r="K206" i="4" s="1"/>
  <c r="L206" i="4" s="1"/>
  <c r="C207" i="4" s="1"/>
  <c r="O206" i="4"/>
  <c r="H206" i="4"/>
  <c r="K379" i="3"/>
  <c r="B380" i="3" s="1"/>
  <c r="G379" i="3"/>
  <c r="F379" i="3"/>
  <c r="E379" i="3"/>
  <c r="D379" i="3"/>
  <c r="J379" i="3"/>
  <c r="C379" i="3"/>
  <c r="N207" i="4" l="1"/>
  <c r="J207" i="4"/>
  <c r="M206" i="4"/>
  <c r="G207" i="4"/>
  <c r="D207" i="4"/>
  <c r="E207" i="4" s="1"/>
  <c r="L379" i="3"/>
  <c r="K380" i="3"/>
  <c r="B381" i="3" s="1"/>
  <c r="C380" i="3"/>
  <c r="G380" i="3"/>
  <c r="F380" i="3"/>
  <c r="E380" i="3"/>
  <c r="D380" i="3"/>
  <c r="J380" i="3"/>
  <c r="F207" i="4" l="1"/>
  <c r="K207" i="4" s="1"/>
  <c r="L207" i="4" s="1"/>
  <c r="C208" i="4" s="1"/>
  <c r="O207" i="4"/>
  <c r="P206" i="4"/>
  <c r="Q206" i="4" s="1"/>
  <c r="H207" i="4"/>
  <c r="L380" i="3"/>
  <c r="K381" i="3"/>
  <c r="B382" i="3" s="1"/>
  <c r="J381" i="3"/>
  <c r="C381" i="3"/>
  <c r="G381" i="3"/>
  <c r="F381" i="3"/>
  <c r="E381" i="3"/>
  <c r="D381" i="3"/>
  <c r="N208" i="4" l="1"/>
  <c r="J208" i="4"/>
  <c r="M207" i="4"/>
  <c r="G208" i="4"/>
  <c r="D208" i="4"/>
  <c r="E208" i="4" s="1"/>
  <c r="K382" i="3"/>
  <c r="B383" i="3" s="1"/>
  <c r="J382" i="3"/>
  <c r="C382" i="3"/>
  <c r="G382" i="3"/>
  <c r="F382" i="3"/>
  <c r="E382" i="3"/>
  <c r="D382" i="3"/>
  <c r="L381" i="3"/>
  <c r="F208" i="4" l="1"/>
  <c r="K208" i="4" s="1"/>
  <c r="L208" i="4" s="1"/>
  <c r="C209" i="4" s="1"/>
  <c r="O208" i="4"/>
  <c r="H208" i="4"/>
  <c r="P207" i="4"/>
  <c r="Q207" i="4" s="1"/>
  <c r="L382" i="3"/>
  <c r="K383" i="3"/>
  <c r="B384" i="3" s="1"/>
  <c r="D383" i="3"/>
  <c r="J383" i="3"/>
  <c r="C383" i="3"/>
  <c r="G383" i="3"/>
  <c r="F383" i="3"/>
  <c r="E383" i="3"/>
  <c r="N209" i="4" l="1"/>
  <c r="J209" i="4"/>
  <c r="D209" i="4"/>
  <c r="E209" i="4" s="1"/>
  <c r="M208" i="4"/>
  <c r="G209" i="4"/>
  <c r="L383" i="3"/>
  <c r="K384" i="3"/>
  <c r="B385" i="3" s="1"/>
  <c r="E384" i="3"/>
  <c r="D384" i="3"/>
  <c r="J384" i="3"/>
  <c r="C384" i="3"/>
  <c r="G384" i="3"/>
  <c r="L384" i="3" s="1"/>
  <c r="F384" i="3"/>
  <c r="O209" i="4" l="1"/>
  <c r="F209" i="4"/>
  <c r="K209" i="4" s="1"/>
  <c r="L209" i="4" s="1"/>
  <c r="C210" i="4" s="1"/>
  <c r="P208" i="4"/>
  <c r="Q208" i="4" s="1"/>
  <c r="H209" i="4"/>
  <c r="K385" i="3"/>
  <c r="B386" i="3" s="1"/>
  <c r="F385" i="3"/>
  <c r="E385" i="3"/>
  <c r="D385" i="3"/>
  <c r="J385" i="3"/>
  <c r="C385" i="3"/>
  <c r="G385" i="3"/>
  <c r="L385" i="3" s="1"/>
  <c r="N210" i="4" l="1"/>
  <c r="J210" i="4"/>
  <c r="M209" i="4"/>
  <c r="D210" i="4"/>
  <c r="E210" i="4" s="1"/>
  <c r="G210" i="4"/>
  <c r="K386" i="3"/>
  <c r="B387" i="3" s="1"/>
  <c r="G386" i="3"/>
  <c r="F386" i="3"/>
  <c r="E386" i="3"/>
  <c r="D386" i="3"/>
  <c r="J386" i="3"/>
  <c r="C386" i="3"/>
  <c r="O210" i="4" l="1"/>
  <c r="F210" i="4"/>
  <c r="K210" i="4" s="1"/>
  <c r="L210" i="4" s="1"/>
  <c r="C211" i="4" s="1"/>
  <c r="H210" i="4"/>
  <c r="P209" i="4"/>
  <c r="Q209" i="4" s="1"/>
  <c r="L386" i="3"/>
  <c r="K387" i="3"/>
  <c r="B388" i="3" s="1"/>
  <c r="G387" i="3"/>
  <c r="F387" i="3"/>
  <c r="E387" i="3"/>
  <c r="D387" i="3"/>
  <c r="J387" i="3"/>
  <c r="C387" i="3"/>
  <c r="N211" i="4" l="1"/>
  <c r="J211" i="4"/>
  <c r="M210" i="4"/>
  <c r="G211" i="4"/>
  <c r="D211" i="4"/>
  <c r="E211" i="4" s="1"/>
  <c r="L387" i="3"/>
  <c r="K388" i="3"/>
  <c r="B389" i="3" s="1"/>
  <c r="C388" i="3"/>
  <c r="G388" i="3"/>
  <c r="F388" i="3"/>
  <c r="E388" i="3"/>
  <c r="D388" i="3"/>
  <c r="J388" i="3"/>
  <c r="O211" i="4" l="1"/>
  <c r="F211" i="4"/>
  <c r="K211" i="4" s="1"/>
  <c r="L211" i="4" s="1"/>
  <c r="P210" i="4"/>
  <c r="Q210" i="4" s="1"/>
  <c r="H211" i="4"/>
  <c r="L388" i="3"/>
  <c r="K389" i="3"/>
  <c r="B390" i="3" s="1"/>
  <c r="J389" i="3"/>
  <c r="C389" i="3"/>
  <c r="G389" i="3"/>
  <c r="L389" i="3" s="1"/>
  <c r="F389" i="3"/>
  <c r="E389" i="3"/>
  <c r="D389" i="3"/>
  <c r="M211" i="4" l="1"/>
  <c r="C212" i="4"/>
  <c r="K390" i="3"/>
  <c r="B391" i="3" s="1"/>
  <c r="J390" i="3"/>
  <c r="C390" i="3"/>
  <c r="G390" i="3"/>
  <c r="F390" i="3"/>
  <c r="E390" i="3"/>
  <c r="D390" i="3"/>
  <c r="N212" i="4" l="1"/>
  <c r="J212" i="4"/>
  <c r="P211" i="4"/>
  <c r="Q211" i="4" s="1"/>
  <c r="D212" i="4"/>
  <c r="E212" i="4" s="1"/>
  <c r="G212" i="4"/>
  <c r="L390" i="3"/>
  <c r="K391" i="3"/>
  <c r="B392" i="3" s="1"/>
  <c r="D391" i="3"/>
  <c r="J391" i="3"/>
  <c r="C391" i="3"/>
  <c r="G391" i="3"/>
  <c r="F391" i="3"/>
  <c r="E391" i="3"/>
  <c r="O212" i="4" l="1"/>
  <c r="F212" i="4"/>
  <c r="K212" i="4" s="1"/>
  <c r="L212" i="4" s="1"/>
  <c r="H212" i="4"/>
  <c r="L391" i="3"/>
  <c r="K392" i="3"/>
  <c r="B393" i="3" s="1"/>
  <c r="E392" i="3"/>
  <c r="D392" i="3"/>
  <c r="J392" i="3"/>
  <c r="C392" i="3"/>
  <c r="G392" i="3"/>
  <c r="F392" i="3"/>
  <c r="M212" i="4" l="1"/>
  <c r="C213" i="4"/>
  <c r="K393" i="3"/>
  <c r="B394" i="3" s="1"/>
  <c r="F393" i="3"/>
  <c r="E393" i="3"/>
  <c r="D393" i="3"/>
  <c r="J393" i="3"/>
  <c r="C393" i="3"/>
  <c r="G393" i="3"/>
  <c r="L393" i="3" s="1"/>
  <c r="L392" i="3"/>
  <c r="N213" i="4" l="1"/>
  <c r="J213" i="4"/>
  <c r="P212" i="4"/>
  <c r="Q212" i="4" s="1"/>
  <c r="G213" i="4"/>
  <c r="D213" i="4"/>
  <c r="E213" i="4" s="1"/>
  <c r="K394" i="3"/>
  <c r="B395" i="3" s="1"/>
  <c r="G394" i="3"/>
  <c r="F394" i="3"/>
  <c r="E394" i="3"/>
  <c r="D394" i="3"/>
  <c r="J394" i="3"/>
  <c r="C394" i="3"/>
  <c r="O213" i="4" l="1"/>
  <c r="F213" i="4"/>
  <c r="K213" i="4" s="1"/>
  <c r="L213" i="4" s="1"/>
  <c r="C214" i="4" s="1"/>
  <c r="H213" i="4"/>
  <c r="K395" i="3"/>
  <c r="B396" i="3" s="1"/>
  <c r="G395" i="3"/>
  <c r="F395" i="3"/>
  <c r="E395" i="3"/>
  <c r="D395" i="3"/>
  <c r="J395" i="3"/>
  <c r="C395" i="3"/>
  <c r="L394" i="3"/>
  <c r="J214" i="4" l="1"/>
  <c r="N214" i="4"/>
  <c r="M213" i="4"/>
  <c r="D214" i="4"/>
  <c r="E214" i="4" s="1"/>
  <c r="G214" i="4"/>
  <c r="L395" i="3"/>
  <c r="K396" i="3"/>
  <c r="B397" i="3" s="1"/>
  <c r="C396" i="3"/>
  <c r="G396" i="3"/>
  <c r="F396" i="3"/>
  <c r="E396" i="3"/>
  <c r="D396" i="3"/>
  <c r="J396" i="3"/>
  <c r="O214" i="4" l="1"/>
  <c r="F214" i="4"/>
  <c r="K214" i="4" s="1"/>
  <c r="L214" i="4" s="1"/>
  <c r="C215" i="4" s="1"/>
  <c r="P213" i="4"/>
  <c r="Q213" i="4" s="1"/>
  <c r="H214" i="4"/>
  <c r="L396" i="3"/>
  <c r="K397" i="3"/>
  <c r="B398" i="3" s="1"/>
  <c r="J397" i="3"/>
  <c r="C397" i="3"/>
  <c r="G397" i="3"/>
  <c r="F397" i="3"/>
  <c r="E397" i="3"/>
  <c r="D397" i="3"/>
  <c r="N215" i="4" l="1"/>
  <c r="J215" i="4"/>
  <c r="M214" i="4"/>
  <c r="D215" i="4"/>
  <c r="E215" i="4" s="1"/>
  <c r="G215" i="4"/>
  <c r="L397" i="3"/>
  <c r="K398" i="3"/>
  <c r="B399" i="3" s="1"/>
  <c r="J398" i="3"/>
  <c r="C398" i="3"/>
  <c r="G398" i="3"/>
  <c r="F398" i="3"/>
  <c r="E398" i="3"/>
  <c r="D398" i="3"/>
  <c r="O215" i="4" l="1"/>
  <c r="F215" i="4"/>
  <c r="K215" i="4" s="1"/>
  <c r="L215" i="4" s="1"/>
  <c r="C216" i="4" s="1"/>
  <c r="P214" i="4"/>
  <c r="Q214" i="4" s="1"/>
  <c r="H215" i="4"/>
  <c r="L398" i="3"/>
  <c r="K399" i="3"/>
  <c r="B400" i="3" s="1"/>
  <c r="D399" i="3"/>
  <c r="J399" i="3"/>
  <c r="C399" i="3"/>
  <c r="G399" i="3"/>
  <c r="F399" i="3"/>
  <c r="E399" i="3"/>
  <c r="N216" i="4" l="1"/>
  <c r="J216" i="4"/>
  <c r="M215" i="4"/>
  <c r="G216" i="4"/>
  <c r="D216" i="4"/>
  <c r="E216" i="4" s="1"/>
  <c r="L399" i="3"/>
  <c r="K400" i="3"/>
  <c r="B401" i="3" s="1"/>
  <c r="E400" i="3"/>
  <c r="D400" i="3"/>
  <c r="J400" i="3"/>
  <c r="C400" i="3"/>
  <c r="G400" i="3"/>
  <c r="L400" i="3" s="1"/>
  <c r="F400" i="3"/>
  <c r="O216" i="4" l="1"/>
  <c r="F216" i="4"/>
  <c r="K216" i="4" s="1"/>
  <c r="L216" i="4" s="1"/>
  <c r="C217" i="4" s="1"/>
  <c r="P215" i="4"/>
  <c r="Q215" i="4" s="1"/>
  <c r="H216" i="4"/>
  <c r="K401" i="3"/>
  <c r="B402" i="3" s="1"/>
  <c r="F401" i="3"/>
  <c r="E401" i="3"/>
  <c r="D401" i="3"/>
  <c r="J401" i="3"/>
  <c r="C401" i="3"/>
  <c r="G401" i="3"/>
  <c r="L401" i="3" s="1"/>
  <c r="N217" i="4" l="1"/>
  <c r="J217" i="4"/>
  <c r="M216" i="4"/>
  <c r="D217" i="4"/>
  <c r="E217" i="4" s="1"/>
  <c r="G217" i="4"/>
  <c r="K402" i="3"/>
  <c r="B403" i="3" s="1"/>
  <c r="G402" i="3"/>
  <c r="F402" i="3"/>
  <c r="E402" i="3"/>
  <c r="D402" i="3"/>
  <c r="J402" i="3"/>
  <c r="C402" i="3"/>
  <c r="O217" i="4" l="1"/>
  <c r="F217" i="4"/>
  <c r="P216" i="4"/>
  <c r="Q216" i="4" s="1"/>
  <c r="H217" i="4"/>
  <c r="K217" i="4"/>
  <c r="L217" i="4" s="1"/>
  <c r="C218" i="4" s="1"/>
  <c r="L402" i="3"/>
  <c r="K403" i="3"/>
  <c r="B404" i="3" s="1"/>
  <c r="G403" i="3"/>
  <c r="F403" i="3"/>
  <c r="E403" i="3"/>
  <c r="D403" i="3"/>
  <c r="J403" i="3"/>
  <c r="C403" i="3"/>
  <c r="N218" i="4" l="1"/>
  <c r="J218" i="4"/>
  <c r="M217" i="4"/>
  <c r="G218" i="4"/>
  <c r="D218" i="4"/>
  <c r="E218" i="4" s="1"/>
  <c r="L403" i="3"/>
  <c r="K404" i="3"/>
  <c r="B405" i="3" s="1"/>
  <c r="C404" i="3"/>
  <c r="G404" i="3"/>
  <c r="F404" i="3"/>
  <c r="E404" i="3"/>
  <c r="D404" i="3"/>
  <c r="J404" i="3"/>
  <c r="O218" i="4" l="1"/>
  <c r="F218" i="4"/>
  <c r="K218" i="4" s="1"/>
  <c r="L218" i="4" s="1"/>
  <c r="C219" i="4" s="1"/>
  <c r="P217" i="4"/>
  <c r="Q217" i="4" s="1"/>
  <c r="H218" i="4"/>
  <c r="L404" i="3"/>
  <c r="K405" i="3"/>
  <c r="B406" i="3" s="1"/>
  <c r="J405" i="3"/>
  <c r="C405" i="3"/>
  <c r="G405" i="3"/>
  <c r="F405" i="3"/>
  <c r="E405" i="3"/>
  <c r="D405" i="3"/>
  <c r="N219" i="4" l="1"/>
  <c r="J219" i="4"/>
  <c r="M218" i="4"/>
  <c r="D219" i="4"/>
  <c r="E219" i="4" s="1"/>
  <c r="G219" i="4"/>
  <c r="L405" i="3"/>
  <c r="K406" i="3"/>
  <c r="B407" i="3" s="1"/>
  <c r="J406" i="3"/>
  <c r="C406" i="3"/>
  <c r="G406" i="3"/>
  <c r="F406" i="3"/>
  <c r="E406" i="3"/>
  <c r="D406" i="3"/>
  <c r="O219" i="4" l="1"/>
  <c r="F219" i="4"/>
  <c r="K219" i="4" s="1"/>
  <c r="L219" i="4" s="1"/>
  <c r="C220" i="4" s="1"/>
  <c r="P218" i="4"/>
  <c r="Q218" i="4" s="1"/>
  <c r="H219" i="4"/>
  <c r="K407" i="3"/>
  <c r="B408" i="3" s="1"/>
  <c r="D407" i="3"/>
  <c r="J407" i="3"/>
  <c r="C407" i="3"/>
  <c r="G407" i="3"/>
  <c r="F407" i="3"/>
  <c r="E407" i="3"/>
  <c r="L406" i="3"/>
  <c r="N220" i="4" l="1"/>
  <c r="J220" i="4"/>
  <c r="M219" i="4"/>
  <c r="D220" i="4"/>
  <c r="E220" i="4" s="1"/>
  <c r="G220" i="4"/>
  <c r="L407" i="3"/>
  <c r="K408" i="3"/>
  <c r="B409" i="3" s="1"/>
  <c r="E408" i="3"/>
  <c r="D408" i="3"/>
  <c r="J408" i="3"/>
  <c r="C408" i="3"/>
  <c r="G408" i="3"/>
  <c r="F408" i="3"/>
  <c r="O220" i="4" l="1"/>
  <c r="F220" i="4"/>
  <c r="K220" i="4" s="1"/>
  <c r="L220" i="4" s="1"/>
  <c r="C221" i="4" s="1"/>
  <c r="H220" i="4"/>
  <c r="P219" i="4"/>
  <c r="Q219" i="4" s="1"/>
  <c r="L408" i="3"/>
  <c r="K409" i="3"/>
  <c r="B410" i="3" s="1"/>
  <c r="F409" i="3"/>
  <c r="E409" i="3"/>
  <c r="D409" i="3"/>
  <c r="J409" i="3"/>
  <c r="C409" i="3"/>
  <c r="G409" i="3"/>
  <c r="L409" i="3" s="1"/>
  <c r="N221" i="4" l="1"/>
  <c r="J221" i="4"/>
  <c r="M220" i="4"/>
  <c r="D221" i="4"/>
  <c r="E221" i="4" s="1"/>
  <c r="G221" i="4"/>
  <c r="K410" i="3"/>
  <c r="B411" i="3" s="1"/>
  <c r="G410" i="3"/>
  <c r="F410" i="3"/>
  <c r="E410" i="3"/>
  <c r="D410" i="3"/>
  <c r="J410" i="3"/>
  <c r="C410" i="3"/>
  <c r="O221" i="4" l="1"/>
  <c r="F221" i="4"/>
  <c r="K221" i="4" s="1"/>
  <c r="L221" i="4" s="1"/>
  <c r="C222" i="4" s="1"/>
  <c r="P220" i="4"/>
  <c r="Q220" i="4" s="1"/>
  <c r="H221" i="4"/>
  <c r="L410" i="3"/>
  <c r="K411" i="3"/>
  <c r="B412" i="3" s="1"/>
  <c r="G411" i="3"/>
  <c r="F411" i="3"/>
  <c r="E411" i="3"/>
  <c r="D411" i="3"/>
  <c r="J411" i="3"/>
  <c r="C411" i="3"/>
  <c r="J222" i="4" l="1"/>
  <c r="N222" i="4"/>
  <c r="M221" i="4"/>
  <c r="G222" i="4"/>
  <c r="D222" i="4"/>
  <c r="E222" i="4" s="1"/>
  <c r="L411" i="3"/>
  <c r="K412" i="3"/>
  <c r="B413" i="3" s="1"/>
  <c r="C412" i="3"/>
  <c r="G412" i="3"/>
  <c r="F412" i="3"/>
  <c r="E412" i="3"/>
  <c r="D412" i="3"/>
  <c r="J412" i="3"/>
  <c r="O222" i="4" l="1"/>
  <c r="F222" i="4"/>
  <c r="K222" i="4" s="1"/>
  <c r="L222" i="4" s="1"/>
  <c r="P221" i="4"/>
  <c r="Q221" i="4" s="1"/>
  <c r="H222" i="4"/>
  <c r="L412" i="3"/>
  <c r="K413" i="3"/>
  <c r="B414" i="3" s="1"/>
  <c r="J413" i="3"/>
  <c r="C413" i="3"/>
  <c r="G413" i="3"/>
  <c r="F413" i="3"/>
  <c r="E413" i="3"/>
  <c r="D413" i="3"/>
  <c r="M222" i="4" l="1"/>
  <c r="C223" i="4"/>
  <c r="K414" i="3"/>
  <c r="B415" i="3" s="1"/>
  <c r="J414" i="3"/>
  <c r="C414" i="3"/>
  <c r="G414" i="3"/>
  <c r="L414" i="3" s="1"/>
  <c r="F414" i="3"/>
  <c r="E414" i="3"/>
  <c r="D414" i="3"/>
  <c r="L413" i="3"/>
  <c r="N223" i="4" l="1"/>
  <c r="J223" i="4"/>
  <c r="P222" i="4"/>
  <c r="Q222" i="4" s="1"/>
  <c r="G223" i="4"/>
  <c r="D223" i="4"/>
  <c r="E223" i="4" s="1"/>
  <c r="K415" i="3"/>
  <c r="B416" i="3" s="1"/>
  <c r="D415" i="3"/>
  <c r="J415" i="3"/>
  <c r="C415" i="3"/>
  <c r="G415" i="3"/>
  <c r="L415" i="3" s="1"/>
  <c r="F415" i="3"/>
  <c r="E415" i="3"/>
  <c r="O223" i="4" l="1"/>
  <c r="F223" i="4"/>
  <c r="K223" i="4" s="1"/>
  <c r="L223" i="4" s="1"/>
  <c r="H223" i="4"/>
  <c r="K416" i="3"/>
  <c r="B417" i="3" s="1"/>
  <c r="E416" i="3"/>
  <c r="D416" i="3"/>
  <c r="J416" i="3"/>
  <c r="C416" i="3"/>
  <c r="G416" i="3"/>
  <c r="L416" i="3" s="1"/>
  <c r="F416" i="3"/>
  <c r="M223" i="4" l="1"/>
  <c r="C224" i="4"/>
  <c r="K417" i="3"/>
  <c r="B418" i="3" s="1"/>
  <c r="F417" i="3"/>
  <c r="E417" i="3"/>
  <c r="D417" i="3"/>
  <c r="J417" i="3"/>
  <c r="C417" i="3"/>
  <c r="G417" i="3"/>
  <c r="L417" i="3" s="1"/>
  <c r="N224" i="4" l="1"/>
  <c r="J224" i="4"/>
  <c r="P223" i="4"/>
  <c r="Q223" i="4" s="1"/>
  <c r="D224" i="4"/>
  <c r="E224" i="4" s="1"/>
  <c r="G224" i="4"/>
  <c r="K418" i="3"/>
  <c r="B419" i="3" s="1"/>
  <c r="G418" i="3"/>
  <c r="F418" i="3"/>
  <c r="E418" i="3"/>
  <c r="D418" i="3"/>
  <c r="J418" i="3"/>
  <c r="C418" i="3"/>
  <c r="O224" i="4" l="1"/>
  <c r="F224" i="4"/>
  <c r="K224" i="4" s="1"/>
  <c r="L224" i="4" s="1"/>
  <c r="C225" i="4" s="1"/>
  <c r="H224" i="4"/>
  <c r="L418" i="3"/>
  <c r="K419" i="3"/>
  <c r="B420" i="3" s="1"/>
  <c r="G419" i="3"/>
  <c r="L419" i="3" s="1"/>
  <c r="F419" i="3"/>
  <c r="E419" i="3"/>
  <c r="D419" i="3"/>
  <c r="J419" i="3"/>
  <c r="C419" i="3"/>
  <c r="N225" i="4" l="1"/>
  <c r="J225" i="4"/>
  <c r="M224" i="4"/>
  <c r="G225" i="4"/>
  <c r="D225" i="4"/>
  <c r="E225" i="4" s="1"/>
  <c r="K420" i="3"/>
  <c r="B421" i="3" s="1"/>
  <c r="F420" i="3"/>
  <c r="D420" i="3"/>
  <c r="J420" i="3"/>
  <c r="C420" i="3"/>
  <c r="G420" i="3"/>
  <c r="E420" i="3"/>
  <c r="O225" i="4" l="1"/>
  <c r="F225" i="4"/>
  <c r="K225" i="4" s="1"/>
  <c r="L225" i="4" s="1"/>
  <c r="P224" i="4"/>
  <c r="Q224" i="4" s="1"/>
  <c r="H225" i="4"/>
  <c r="L420" i="3"/>
  <c r="K421" i="3"/>
  <c r="B422" i="3" s="1"/>
  <c r="C421" i="3"/>
  <c r="G421" i="3"/>
  <c r="E421" i="3"/>
  <c r="D421" i="3"/>
  <c r="F421" i="3"/>
  <c r="J421" i="3"/>
  <c r="M225" i="4" l="1"/>
  <c r="C226" i="4"/>
  <c r="K422" i="3"/>
  <c r="B423" i="3" s="1"/>
  <c r="J422" i="3"/>
  <c r="F422" i="3"/>
  <c r="E422" i="3"/>
  <c r="D422" i="3"/>
  <c r="C422" i="3"/>
  <c r="G422" i="3"/>
  <c r="L422" i="3" s="1"/>
  <c r="L421" i="3"/>
  <c r="N226" i="4" l="1"/>
  <c r="J226" i="4"/>
  <c r="P225" i="4"/>
  <c r="Q225" i="4" s="1"/>
  <c r="G226" i="4"/>
  <c r="D226" i="4"/>
  <c r="E226" i="4" s="1"/>
  <c r="K423" i="3"/>
  <c r="B424" i="3" s="1"/>
  <c r="C423" i="3"/>
  <c r="G423" i="3"/>
  <c r="F423" i="3"/>
  <c r="E423" i="3"/>
  <c r="D423" i="3"/>
  <c r="J423" i="3"/>
  <c r="O226" i="4" l="1"/>
  <c r="F226" i="4"/>
  <c r="K226" i="4" s="1"/>
  <c r="L226" i="4" s="1"/>
  <c r="H226" i="4"/>
  <c r="L423" i="3"/>
  <c r="K424" i="3"/>
  <c r="B425" i="3" s="1"/>
  <c r="D424" i="3"/>
  <c r="J424" i="3"/>
  <c r="G424" i="3"/>
  <c r="F424" i="3"/>
  <c r="E424" i="3"/>
  <c r="C424" i="3"/>
  <c r="C227" i="4" l="1"/>
  <c r="M226" i="4"/>
  <c r="L424" i="3"/>
  <c r="K425" i="3"/>
  <c r="B426" i="3" s="1"/>
  <c r="E425" i="3"/>
  <c r="C425" i="3"/>
  <c r="G425" i="3"/>
  <c r="F425" i="3"/>
  <c r="D425" i="3"/>
  <c r="J425" i="3"/>
  <c r="N227" i="4" l="1"/>
  <c r="J227" i="4"/>
  <c r="D227" i="4"/>
  <c r="E227" i="4" s="1"/>
  <c r="P226" i="4"/>
  <c r="Q226" i="4" s="1"/>
  <c r="G227" i="4"/>
  <c r="L425" i="3"/>
  <c r="K426" i="3"/>
  <c r="B427" i="3" s="1"/>
  <c r="F426" i="3"/>
  <c r="D426" i="3"/>
  <c r="J426" i="3"/>
  <c r="C426" i="3"/>
  <c r="G426" i="3"/>
  <c r="L426" i="3" s="1"/>
  <c r="E426" i="3"/>
  <c r="H227" i="4" l="1"/>
  <c r="O227" i="4"/>
  <c r="F227" i="4"/>
  <c r="K427" i="3"/>
  <c r="B428" i="3" s="1"/>
  <c r="G427" i="3"/>
  <c r="E427" i="3"/>
  <c r="J427" i="3"/>
  <c r="C427" i="3"/>
  <c r="F427" i="3"/>
  <c r="D427" i="3"/>
  <c r="M227" i="4" l="1"/>
  <c r="P227" i="4" s="1"/>
  <c r="Q227" i="4" s="1"/>
  <c r="K227" i="4"/>
  <c r="L227" i="4" s="1"/>
  <c r="C228" i="4" s="1"/>
  <c r="N228" i="4" s="1"/>
  <c r="L427" i="3"/>
  <c r="K428" i="3"/>
  <c r="B429" i="3" s="1"/>
  <c r="F428" i="3"/>
  <c r="D428" i="3"/>
  <c r="G428" i="3"/>
  <c r="L428" i="3" s="1"/>
  <c r="E428" i="3"/>
  <c r="J428" i="3"/>
  <c r="C428" i="3"/>
  <c r="D228" i="4" l="1"/>
  <c r="E228" i="4" s="1"/>
  <c r="G228" i="4"/>
  <c r="J228" i="4"/>
  <c r="K429" i="3"/>
  <c r="B430" i="3" s="1"/>
  <c r="C429" i="3"/>
  <c r="G429" i="3"/>
  <c r="E429" i="3"/>
  <c r="D429" i="3"/>
  <c r="J429" i="3"/>
  <c r="F429" i="3"/>
  <c r="O228" i="4" l="1"/>
  <c r="H228" i="4"/>
  <c r="F228" i="4"/>
  <c r="K228" i="4" s="1"/>
  <c r="L228" i="4" s="1"/>
  <c r="C229" i="4" s="1"/>
  <c r="N229" i="4" s="1"/>
  <c r="K430" i="3"/>
  <c r="B431" i="3" s="1"/>
  <c r="J430" i="3"/>
  <c r="F430" i="3"/>
  <c r="E430" i="3"/>
  <c r="G430" i="3"/>
  <c r="D430" i="3"/>
  <c r="C430" i="3"/>
  <c r="L429" i="3"/>
  <c r="M228" i="4" l="1"/>
  <c r="P228" i="4" s="1"/>
  <c r="Q228" i="4" s="1"/>
  <c r="D229" i="4"/>
  <c r="E229" i="4" s="1"/>
  <c r="F229" i="4" s="1"/>
  <c r="K229" i="4" s="1"/>
  <c r="L229" i="4" s="1"/>
  <c r="C230" i="4" s="1"/>
  <c r="J229" i="4"/>
  <c r="G229" i="4"/>
  <c r="L430" i="3"/>
  <c r="K431" i="3"/>
  <c r="B432" i="3" s="1"/>
  <c r="C431" i="3"/>
  <c r="G431" i="3"/>
  <c r="F431" i="3"/>
  <c r="E431" i="3"/>
  <c r="D431" i="3"/>
  <c r="J431" i="3"/>
  <c r="H229" i="4" l="1"/>
  <c r="O229" i="4"/>
  <c r="N230" i="4"/>
  <c r="J230" i="4"/>
  <c r="M229" i="4"/>
  <c r="G230" i="4"/>
  <c r="D230" i="4"/>
  <c r="E230" i="4" s="1"/>
  <c r="L431" i="3"/>
  <c r="K432" i="3"/>
  <c r="B433" i="3" s="1"/>
  <c r="D432" i="3"/>
  <c r="J432" i="3"/>
  <c r="G432" i="3"/>
  <c r="F432" i="3"/>
  <c r="E432" i="3"/>
  <c r="C432" i="3"/>
  <c r="O230" i="4" l="1"/>
  <c r="F230" i="4"/>
  <c r="K230" i="4" s="1"/>
  <c r="L230" i="4" s="1"/>
  <c r="P229" i="4"/>
  <c r="Q229" i="4" s="1"/>
  <c r="H230" i="4"/>
  <c r="K433" i="3"/>
  <c r="B434" i="3" s="1"/>
  <c r="E433" i="3"/>
  <c r="C433" i="3"/>
  <c r="G433" i="3"/>
  <c r="F433" i="3"/>
  <c r="D433" i="3"/>
  <c r="J433" i="3"/>
  <c r="L432" i="3"/>
  <c r="M230" i="4" l="1"/>
  <c r="C231" i="4"/>
  <c r="L433" i="3"/>
  <c r="K434" i="3"/>
  <c r="B435" i="3" s="1"/>
  <c r="F434" i="3"/>
  <c r="D434" i="3"/>
  <c r="J434" i="3"/>
  <c r="C434" i="3"/>
  <c r="G434" i="3"/>
  <c r="E434" i="3"/>
  <c r="N231" i="4" l="1"/>
  <c r="J231" i="4"/>
  <c r="P230" i="4"/>
  <c r="Q230" i="4" s="1"/>
  <c r="D231" i="4"/>
  <c r="E231" i="4" s="1"/>
  <c r="G231" i="4"/>
  <c r="L434" i="3"/>
  <c r="K435" i="3"/>
  <c r="B436" i="3" s="1"/>
  <c r="G435" i="3"/>
  <c r="E435" i="3"/>
  <c r="J435" i="3"/>
  <c r="F435" i="3"/>
  <c r="D435" i="3"/>
  <c r="C435" i="3"/>
  <c r="O231" i="4" l="1"/>
  <c r="F231" i="4"/>
  <c r="K231" i="4" s="1"/>
  <c r="L231" i="4" s="1"/>
  <c r="C232" i="4" s="1"/>
  <c r="H231" i="4"/>
  <c r="L435" i="3"/>
  <c r="K436" i="3"/>
  <c r="B437" i="3" s="1"/>
  <c r="F436" i="3"/>
  <c r="D436" i="3"/>
  <c r="J436" i="3"/>
  <c r="C436" i="3"/>
  <c r="G436" i="3"/>
  <c r="L436" i="3" s="1"/>
  <c r="E436" i="3"/>
  <c r="N232" i="4" l="1"/>
  <c r="J232" i="4"/>
  <c r="M231" i="4"/>
  <c r="D232" i="4"/>
  <c r="E232" i="4" s="1"/>
  <c r="G232" i="4"/>
  <c r="K437" i="3"/>
  <c r="B438" i="3" s="1"/>
  <c r="C437" i="3"/>
  <c r="G437" i="3"/>
  <c r="E437" i="3"/>
  <c r="D437" i="3"/>
  <c r="F437" i="3"/>
  <c r="J437" i="3"/>
  <c r="O232" i="4" l="1"/>
  <c r="F232" i="4"/>
  <c r="K232" i="4" s="1"/>
  <c r="L232" i="4" s="1"/>
  <c r="C233" i="4" s="1"/>
  <c r="H232" i="4"/>
  <c r="P231" i="4"/>
  <c r="Q231" i="4" s="1"/>
  <c r="L437" i="3"/>
  <c r="K438" i="3"/>
  <c r="B439" i="3" s="1"/>
  <c r="J438" i="3"/>
  <c r="F438" i="3"/>
  <c r="E438" i="3"/>
  <c r="D438" i="3"/>
  <c r="C438" i="3"/>
  <c r="G438" i="3"/>
  <c r="N233" i="4" l="1"/>
  <c r="J233" i="4"/>
  <c r="M232" i="4"/>
  <c r="D233" i="4"/>
  <c r="E233" i="4" s="1"/>
  <c r="G233" i="4"/>
  <c r="L438" i="3"/>
  <c r="K439" i="3"/>
  <c r="B440" i="3" s="1"/>
  <c r="C439" i="3"/>
  <c r="G439" i="3"/>
  <c r="F439" i="3"/>
  <c r="E439" i="3"/>
  <c r="D439" i="3"/>
  <c r="J439" i="3"/>
  <c r="O233" i="4" l="1"/>
  <c r="F233" i="4"/>
  <c r="K233" i="4" s="1"/>
  <c r="L233" i="4" s="1"/>
  <c r="C234" i="4" s="1"/>
  <c r="P232" i="4"/>
  <c r="Q232" i="4" s="1"/>
  <c r="H233" i="4"/>
  <c r="L439" i="3"/>
  <c r="K440" i="3"/>
  <c r="B441" i="3" s="1"/>
  <c r="D440" i="3"/>
  <c r="J440" i="3"/>
  <c r="G440" i="3"/>
  <c r="F440" i="3"/>
  <c r="E440" i="3"/>
  <c r="C440" i="3"/>
  <c r="N234" i="4" l="1"/>
  <c r="J234" i="4"/>
  <c r="M233" i="4"/>
  <c r="D234" i="4"/>
  <c r="E234" i="4" s="1"/>
  <c r="G234" i="4"/>
  <c r="K441" i="3"/>
  <c r="B442" i="3" s="1"/>
  <c r="E441" i="3"/>
  <c r="C441" i="3"/>
  <c r="G441" i="3"/>
  <c r="F441" i="3"/>
  <c r="D441" i="3"/>
  <c r="J441" i="3"/>
  <c r="L440" i="3"/>
  <c r="O234" i="4" l="1"/>
  <c r="F234" i="4"/>
  <c r="K234" i="4" s="1"/>
  <c r="L234" i="4" s="1"/>
  <c r="C235" i="4" s="1"/>
  <c r="P233" i="4"/>
  <c r="Q233" i="4" s="1"/>
  <c r="H234" i="4"/>
  <c r="L441" i="3"/>
  <c r="K442" i="3"/>
  <c r="B443" i="3" s="1"/>
  <c r="F442" i="3"/>
  <c r="D442" i="3"/>
  <c r="J442" i="3"/>
  <c r="C442" i="3"/>
  <c r="G442" i="3"/>
  <c r="E442" i="3"/>
  <c r="N235" i="4" l="1"/>
  <c r="J235" i="4"/>
  <c r="M234" i="4"/>
  <c r="D235" i="4"/>
  <c r="E235" i="4" s="1"/>
  <c r="G235" i="4"/>
  <c r="L442" i="3"/>
  <c r="K443" i="3"/>
  <c r="B444" i="3" s="1"/>
  <c r="G443" i="3"/>
  <c r="E443" i="3"/>
  <c r="J443" i="3"/>
  <c r="C443" i="3"/>
  <c r="F443" i="3"/>
  <c r="D443" i="3"/>
  <c r="O235" i="4" l="1"/>
  <c r="F235" i="4"/>
  <c r="K235" i="4" s="1"/>
  <c r="L235" i="4" s="1"/>
  <c r="C236" i="4" s="1"/>
  <c r="P234" i="4"/>
  <c r="Q234" i="4" s="1"/>
  <c r="H235" i="4"/>
  <c r="L443" i="3"/>
  <c r="K444" i="3"/>
  <c r="B445" i="3" s="1"/>
  <c r="F444" i="3"/>
  <c r="D444" i="3"/>
  <c r="G444" i="3"/>
  <c r="E444" i="3"/>
  <c r="J444" i="3"/>
  <c r="C444" i="3"/>
  <c r="N236" i="4" l="1"/>
  <c r="J236" i="4"/>
  <c r="M235" i="4"/>
  <c r="G236" i="4"/>
  <c r="D236" i="4"/>
  <c r="E236" i="4" s="1"/>
  <c r="L444" i="3"/>
  <c r="K445" i="3"/>
  <c r="B446" i="3" s="1"/>
  <c r="C445" i="3"/>
  <c r="G445" i="3"/>
  <c r="E445" i="3"/>
  <c r="D445" i="3"/>
  <c r="J445" i="3"/>
  <c r="F445" i="3"/>
  <c r="O236" i="4" l="1"/>
  <c r="F236" i="4"/>
  <c r="K236" i="4" s="1"/>
  <c r="L236" i="4" s="1"/>
  <c r="P235" i="4"/>
  <c r="Q235" i="4" s="1"/>
  <c r="H236" i="4"/>
  <c r="L445" i="3"/>
  <c r="K446" i="3"/>
  <c r="B447" i="3" s="1"/>
  <c r="J446" i="3"/>
  <c r="F446" i="3"/>
  <c r="E446" i="3"/>
  <c r="G446" i="3"/>
  <c r="D446" i="3"/>
  <c r="C446" i="3"/>
  <c r="M236" i="4" l="1"/>
  <c r="C237" i="4"/>
  <c r="L446" i="3"/>
  <c r="K447" i="3"/>
  <c r="B448" i="3" s="1"/>
  <c r="C447" i="3"/>
  <c r="G447" i="3"/>
  <c r="F447" i="3"/>
  <c r="E447" i="3"/>
  <c r="D447" i="3"/>
  <c r="J447" i="3"/>
  <c r="N237" i="4" l="1"/>
  <c r="J237" i="4"/>
  <c r="P236" i="4"/>
  <c r="Q236" i="4" s="1"/>
  <c r="G237" i="4"/>
  <c r="D237" i="4"/>
  <c r="E237" i="4" s="1"/>
  <c r="L447" i="3"/>
  <c r="K448" i="3"/>
  <c r="B449" i="3" s="1"/>
  <c r="D448" i="3"/>
  <c r="J448" i="3"/>
  <c r="G448" i="3"/>
  <c r="F448" i="3"/>
  <c r="E448" i="3"/>
  <c r="C448" i="3"/>
  <c r="O237" i="4" l="1"/>
  <c r="F237" i="4"/>
  <c r="K237" i="4" s="1"/>
  <c r="L237" i="4" s="1"/>
  <c r="C238" i="4" s="1"/>
  <c r="H237" i="4"/>
  <c r="L448" i="3"/>
  <c r="K449" i="3"/>
  <c r="B450" i="3" s="1"/>
  <c r="E449" i="3"/>
  <c r="C449" i="3"/>
  <c r="G449" i="3"/>
  <c r="L449" i="3" s="1"/>
  <c r="F449" i="3"/>
  <c r="D449" i="3"/>
  <c r="J449" i="3"/>
  <c r="J238" i="4" l="1"/>
  <c r="N238" i="4"/>
  <c r="M237" i="4"/>
  <c r="G238" i="4"/>
  <c r="D238" i="4"/>
  <c r="E238" i="4" s="1"/>
  <c r="K450" i="3"/>
  <c r="B451" i="3" s="1"/>
  <c r="F450" i="3"/>
  <c r="D450" i="3"/>
  <c r="J450" i="3"/>
  <c r="C450" i="3"/>
  <c r="G450" i="3"/>
  <c r="L450" i="3" s="1"/>
  <c r="E450" i="3"/>
  <c r="O238" i="4" l="1"/>
  <c r="F238" i="4"/>
  <c r="K238" i="4" s="1"/>
  <c r="L238" i="4" s="1"/>
  <c r="P237" i="4"/>
  <c r="Q237" i="4" s="1"/>
  <c r="H238" i="4"/>
  <c r="K451" i="3"/>
  <c r="B452" i="3" s="1"/>
  <c r="G451" i="3"/>
  <c r="E451" i="3"/>
  <c r="J451" i="3"/>
  <c r="F451" i="3"/>
  <c r="D451" i="3"/>
  <c r="C451" i="3"/>
  <c r="M238" i="4" l="1"/>
  <c r="C239" i="4"/>
  <c r="L451" i="3"/>
  <c r="K452" i="3"/>
  <c r="B453" i="3" s="1"/>
  <c r="F452" i="3"/>
  <c r="D452" i="3"/>
  <c r="J452" i="3"/>
  <c r="C452" i="3"/>
  <c r="G452" i="3"/>
  <c r="E452" i="3"/>
  <c r="N239" i="4" l="1"/>
  <c r="J239" i="4"/>
  <c r="P238" i="4"/>
  <c r="Q238" i="4" s="1"/>
  <c r="G239" i="4"/>
  <c r="D239" i="4"/>
  <c r="E239" i="4" s="1"/>
  <c r="L452" i="3"/>
  <c r="K453" i="3"/>
  <c r="B454" i="3" s="1"/>
  <c r="C453" i="3"/>
  <c r="G453" i="3"/>
  <c r="E453" i="3"/>
  <c r="D453" i="3"/>
  <c r="F453" i="3"/>
  <c r="J453" i="3"/>
  <c r="O239" i="4" l="1"/>
  <c r="F239" i="4"/>
  <c r="K239" i="4" s="1"/>
  <c r="L239" i="4" s="1"/>
  <c r="H239" i="4"/>
  <c r="L453" i="3"/>
  <c r="K454" i="3"/>
  <c r="B455" i="3" s="1"/>
  <c r="J454" i="3"/>
  <c r="F454" i="3"/>
  <c r="E454" i="3"/>
  <c r="D454" i="3"/>
  <c r="C454" i="3"/>
  <c r="G454" i="3"/>
  <c r="L454" i="3" s="1"/>
  <c r="M239" i="4" l="1"/>
  <c r="C240" i="4"/>
  <c r="K455" i="3"/>
  <c r="B456" i="3" s="1"/>
  <c r="C455" i="3"/>
  <c r="G455" i="3"/>
  <c r="F455" i="3"/>
  <c r="E455" i="3"/>
  <c r="D455" i="3"/>
  <c r="J455" i="3"/>
  <c r="N240" i="4" l="1"/>
  <c r="J240" i="4"/>
  <c r="P239" i="4"/>
  <c r="Q239" i="4" s="1"/>
  <c r="G240" i="4"/>
  <c r="D240" i="4"/>
  <c r="E240" i="4" s="1"/>
  <c r="K456" i="3"/>
  <c r="B457" i="3" s="1"/>
  <c r="D456" i="3"/>
  <c r="J456" i="3"/>
  <c r="G456" i="3"/>
  <c r="F456" i="3"/>
  <c r="E456" i="3"/>
  <c r="C456" i="3"/>
  <c r="L455" i="3"/>
  <c r="O240" i="4" l="1"/>
  <c r="F240" i="4"/>
  <c r="K240" i="4" s="1"/>
  <c r="L240" i="4" s="1"/>
  <c r="H240" i="4"/>
  <c r="L456" i="3"/>
  <c r="K457" i="3"/>
  <c r="B458" i="3" s="1"/>
  <c r="E457" i="3"/>
  <c r="C457" i="3"/>
  <c r="G457" i="3"/>
  <c r="F457" i="3"/>
  <c r="D457" i="3"/>
  <c r="J457" i="3"/>
  <c r="M240" i="4" l="1"/>
  <c r="C241" i="4"/>
  <c r="L457" i="3"/>
  <c r="K458" i="3"/>
  <c r="B459" i="3" s="1"/>
  <c r="F458" i="3"/>
  <c r="D458" i="3"/>
  <c r="J458" i="3"/>
  <c r="C458" i="3"/>
  <c r="G458" i="3"/>
  <c r="L458" i="3" s="1"/>
  <c r="E458" i="3"/>
  <c r="N241" i="4" l="1"/>
  <c r="J241" i="4"/>
  <c r="P240" i="4"/>
  <c r="Q240" i="4" s="1"/>
  <c r="D241" i="4"/>
  <c r="E241" i="4" s="1"/>
  <c r="G241" i="4"/>
  <c r="K459" i="3"/>
  <c r="B460" i="3" s="1"/>
  <c r="G459" i="3"/>
  <c r="E459" i="3"/>
  <c r="J459" i="3"/>
  <c r="C459" i="3"/>
  <c r="F459" i="3"/>
  <c r="D459" i="3"/>
  <c r="O241" i="4" l="1"/>
  <c r="F241" i="4"/>
  <c r="K241" i="4" s="1"/>
  <c r="L241" i="4" s="1"/>
  <c r="C242" i="4" s="1"/>
  <c r="H241" i="4"/>
  <c r="K460" i="3"/>
  <c r="B461" i="3" s="1"/>
  <c r="F460" i="3"/>
  <c r="D460" i="3"/>
  <c r="G460" i="3"/>
  <c r="E460" i="3"/>
  <c r="J460" i="3"/>
  <c r="C460" i="3"/>
  <c r="L459" i="3"/>
  <c r="N242" i="4" l="1"/>
  <c r="J242" i="4"/>
  <c r="M241" i="4"/>
  <c r="D242" i="4"/>
  <c r="E242" i="4" s="1"/>
  <c r="G242" i="4"/>
  <c r="L460" i="3"/>
  <c r="K461" i="3"/>
  <c r="B462" i="3" s="1"/>
  <c r="C461" i="3"/>
  <c r="G461" i="3"/>
  <c r="E461" i="3"/>
  <c r="D461" i="3"/>
  <c r="J461" i="3"/>
  <c r="F461" i="3"/>
  <c r="O242" i="4" l="1"/>
  <c r="F242" i="4"/>
  <c r="K242" i="4" s="1"/>
  <c r="L242" i="4" s="1"/>
  <c r="C243" i="4" s="1"/>
  <c r="P241" i="4"/>
  <c r="Q241" i="4" s="1"/>
  <c r="H242" i="4"/>
  <c r="L461" i="3"/>
  <c r="K462" i="3"/>
  <c r="B463" i="3" s="1"/>
  <c r="J462" i="3"/>
  <c r="F462" i="3"/>
  <c r="E462" i="3"/>
  <c r="G462" i="3"/>
  <c r="L462" i="3" s="1"/>
  <c r="D462" i="3"/>
  <c r="C462" i="3"/>
  <c r="N243" i="4" l="1"/>
  <c r="J243" i="4"/>
  <c r="M242" i="4"/>
  <c r="D243" i="4"/>
  <c r="E243" i="4" s="1"/>
  <c r="G243" i="4"/>
  <c r="K463" i="3"/>
  <c r="B464" i="3" s="1"/>
  <c r="C463" i="3"/>
  <c r="G463" i="3"/>
  <c r="F463" i="3"/>
  <c r="E463" i="3"/>
  <c r="D463" i="3"/>
  <c r="J463" i="3"/>
  <c r="O243" i="4" l="1"/>
  <c r="F243" i="4"/>
  <c r="K243" i="4" s="1"/>
  <c r="L243" i="4" s="1"/>
  <c r="C244" i="4" s="1"/>
  <c r="H243" i="4"/>
  <c r="P242" i="4"/>
  <c r="Q242" i="4" s="1"/>
  <c r="L463" i="3"/>
  <c r="K464" i="3"/>
  <c r="B465" i="3" s="1"/>
  <c r="D464" i="3"/>
  <c r="J464" i="3"/>
  <c r="G464" i="3"/>
  <c r="F464" i="3"/>
  <c r="E464" i="3"/>
  <c r="C464" i="3"/>
  <c r="N244" i="4" l="1"/>
  <c r="J244" i="4"/>
  <c r="M243" i="4"/>
  <c r="G244" i="4"/>
  <c r="D244" i="4"/>
  <c r="E244" i="4" s="1"/>
  <c r="L464" i="3"/>
  <c r="K465" i="3"/>
  <c r="B466" i="3" s="1"/>
  <c r="E465" i="3"/>
  <c r="C465" i="3"/>
  <c r="G465" i="3"/>
  <c r="F465" i="3"/>
  <c r="D465" i="3"/>
  <c r="J465" i="3"/>
  <c r="O244" i="4" l="1"/>
  <c r="F244" i="4"/>
  <c r="P243" i="4"/>
  <c r="Q243" i="4" s="1"/>
  <c r="H244" i="4"/>
  <c r="K244" i="4"/>
  <c r="L244" i="4" s="1"/>
  <c r="L465" i="3"/>
  <c r="K466" i="3"/>
  <c r="B467" i="3" s="1"/>
  <c r="F466" i="3"/>
  <c r="D466" i="3"/>
  <c r="J466" i="3"/>
  <c r="C466" i="3"/>
  <c r="G466" i="3"/>
  <c r="L466" i="3" s="1"/>
  <c r="E466" i="3"/>
  <c r="M244" i="4" l="1"/>
  <c r="C245" i="4"/>
  <c r="K467" i="3"/>
  <c r="B468" i="3" s="1"/>
  <c r="G467" i="3"/>
  <c r="E467" i="3"/>
  <c r="J467" i="3"/>
  <c r="F467" i="3"/>
  <c r="D467" i="3"/>
  <c r="C467" i="3"/>
  <c r="N245" i="4" l="1"/>
  <c r="J245" i="4"/>
  <c r="P244" i="4"/>
  <c r="Q244" i="4" s="1"/>
  <c r="D245" i="4"/>
  <c r="E245" i="4" s="1"/>
  <c r="G245" i="4"/>
  <c r="L467" i="3"/>
  <c r="K468" i="3"/>
  <c r="B469" i="3" s="1"/>
  <c r="F468" i="3"/>
  <c r="D468" i="3"/>
  <c r="J468" i="3"/>
  <c r="C468" i="3"/>
  <c r="G468" i="3"/>
  <c r="E468" i="3"/>
  <c r="O245" i="4" l="1"/>
  <c r="F245" i="4"/>
  <c r="K245" i="4" s="1"/>
  <c r="L245" i="4" s="1"/>
  <c r="H245" i="4"/>
  <c r="K469" i="3"/>
  <c r="B470" i="3" s="1"/>
  <c r="C469" i="3"/>
  <c r="G469" i="3"/>
  <c r="E469" i="3"/>
  <c r="D469" i="3"/>
  <c r="F469" i="3"/>
  <c r="J469" i="3"/>
  <c r="L468" i="3"/>
  <c r="M245" i="4" l="1"/>
  <c r="C246" i="4"/>
  <c r="K470" i="3"/>
  <c r="B471" i="3" s="1"/>
  <c r="J470" i="3"/>
  <c r="F470" i="3"/>
  <c r="E470" i="3"/>
  <c r="D470" i="3"/>
  <c r="C470" i="3"/>
  <c r="G470" i="3"/>
  <c r="L469" i="3"/>
  <c r="J246" i="4" l="1"/>
  <c r="N246" i="4"/>
  <c r="P245" i="4"/>
  <c r="Q245" i="4" s="1"/>
  <c r="D246" i="4"/>
  <c r="E246" i="4" s="1"/>
  <c r="G246" i="4"/>
  <c r="L470" i="3"/>
  <c r="K471" i="3"/>
  <c r="B472" i="3" s="1"/>
  <c r="C471" i="3"/>
  <c r="G471" i="3"/>
  <c r="F471" i="3"/>
  <c r="E471" i="3"/>
  <c r="D471" i="3"/>
  <c r="J471" i="3"/>
  <c r="O246" i="4" l="1"/>
  <c r="F246" i="4"/>
  <c r="K246" i="4" s="1"/>
  <c r="L246" i="4" s="1"/>
  <c r="C247" i="4" s="1"/>
  <c r="H246" i="4"/>
  <c r="L471" i="3"/>
  <c r="K472" i="3"/>
  <c r="B473" i="3" s="1"/>
  <c r="D472" i="3"/>
  <c r="J472" i="3"/>
  <c r="G472" i="3"/>
  <c r="L472" i="3" s="1"/>
  <c r="F472" i="3"/>
  <c r="E472" i="3"/>
  <c r="C472" i="3"/>
  <c r="N247" i="4" l="1"/>
  <c r="J247" i="4"/>
  <c r="M246" i="4"/>
  <c r="D247" i="4"/>
  <c r="E247" i="4" s="1"/>
  <c r="F247" i="4" s="1"/>
  <c r="G247" i="4"/>
  <c r="K473" i="3"/>
  <c r="B474" i="3" s="1"/>
  <c r="E473" i="3"/>
  <c r="C473" i="3"/>
  <c r="G473" i="3"/>
  <c r="L473" i="3" s="1"/>
  <c r="F473" i="3"/>
  <c r="D473" i="3"/>
  <c r="J473" i="3"/>
  <c r="O247" i="4" l="1"/>
  <c r="P246" i="4"/>
  <c r="Q246" i="4" s="1"/>
  <c r="H247" i="4"/>
  <c r="K247" i="4"/>
  <c r="L247" i="4" s="1"/>
  <c r="K474" i="3"/>
  <c r="B475" i="3" s="1"/>
  <c r="F474" i="3"/>
  <c r="D474" i="3"/>
  <c r="J474" i="3"/>
  <c r="C474" i="3"/>
  <c r="G474" i="3"/>
  <c r="L474" i="3" s="1"/>
  <c r="E474" i="3"/>
  <c r="M247" i="4" l="1"/>
  <c r="C248" i="4"/>
  <c r="K475" i="3"/>
  <c r="B476" i="3" s="1"/>
  <c r="G475" i="3"/>
  <c r="E475" i="3"/>
  <c r="J475" i="3"/>
  <c r="C475" i="3"/>
  <c r="F475" i="3"/>
  <c r="D475" i="3"/>
  <c r="N248" i="4" l="1"/>
  <c r="J248" i="4"/>
  <c r="P247" i="4"/>
  <c r="Q247" i="4" s="1"/>
  <c r="D248" i="4"/>
  <c r="E248" i="4" s="1"/>
  <c r="F248" i="4" s="1"/>
  <c r="G248" i="4"/>
  <c r="K476" i="3"/>
  <c r="B477" i="3" s="1"/>
  <c r="F476" i="3"/>
  <c r="D476" i="3"/>
  <c r="G476" i="3"/>
  <c r="E476" i="3"/>
  <c r="J476" i="3"/>
  <c r="C476" i="3"/>
  <c r="L475" i="3"/>
  <c r="O248" i="4" l="1"/>
  <c r="H248" i="4"/>
  <c r="K248" i="4"/>
  <c r="L248" i="4" s="1"/>
  <c r="C249" i="4" s="1"/>
  <c r="L476" i="3"/>
  <c r="K477" i="3"/>
  <c r="B478" i="3" s="1"/>
  <c r="C477" i="3"/>
  <c r="G477" i="3"/>
  <c r="E477" i="3"/>
  <c r="D477" i="3"/>
  <c r="J477" i="3"/>
  <c r="F477" i="3"/>
  <c r="N249" i="4" l="1"/>
  <c r="J249" i="4"/>
  <c r="M248" i="4"/>
  <c r="G249" i="4"/>
  <c r="D249" i="4"/>
  <c r="E249" i="4" s="1"/>
  <c r="F249" i="4" s="1"/>
  <c r="K478" i="3"/>
  <c r="B479" i="3" s="1"/>
  <c r="J478" i="3"/>
  <c r="F478" i="3"/>
  <c r="E478" i="3"/>
  <c r="G478" i="3"/>
  <c r="L478" i="3" s="1"/>
  <c r="D478" i="3"/>
  <c r="C478" i="3"/>
  <c r="L477" i="3"/>
  <c r="O249" i="4" l="1"/>
  <c r="P248" i="4"/>
  <c r="Q248" i="4" s="1"/>
  <c r="H249" i="4"/>
  <c r="K249" i="4"/>
  <c r="L249" i="4" s="1"/>
  <c r="K479" i="3"/>
  <c r="B480" i="3" s="1"/>
  <c r="C479" i="3"/>
  <c r="G479" i="3"/>
  <c r="F479" i="3"/>
  <c r="E479" i="3"/>
  <c r="D479" i="3"/>
  <c r="J479" i="3"/>
  <c r="M249" i="4" l="1"/>
  <c r="C250" i="4"/>
  <c r="L479" i="3"/>
  <c r="K480" i="3"/>
  <c r="B481" i="3" s="1"/>
  <c r="D480" i="3"/>
  <c r="J480" i="3"/>
  <c r="G480" i="3"/>
  <c r="F480" i="3"/>
  <c r="E480" i="3"/>
  <c r="C480" i="3"/>
  <c r="N250" i="4" l="1"/>
  <c r="J250" i="4"/>
  <c r="P249" i="4"/>
  <c r="Q249" i="4" s="1"/>
  <c r="D250" i="4"/>
  <c r="E250" i="4" s="1"/>
  <c r="F250" i="4" s="1"/>
  <c r="G250" i="4"/>
  <c r="L480" i="3"/>
  <c r="K481" i="3"/>
  <c r="B482" i="3" s="1"/>
  <c r="E481" i="3"/>
  <c r="C481" i="3"/>
  <c r="G481" i="3"/>
  <c r="F481" i="3"/>
  <c r="D481" i="3"/>
  <c r="J481" i="3"/>
  <c r="O250" i="4" l="1"/>
  <c r="H250" i="4"/>
  <c r="K250" i="4"/>
  <c r="L250" i="4" s="1"/>
  <c r="C251" i="4" s="1"/>
  <c r="L481" i="3"/>
  <c r="K482" i="3"/>
  <c r="B483" i="3" s="1"/>
  <c r="F482" i="3"/>
  <c r="D482" i="3"/>
  <c r="J482" i="3"/>
  <c r="C482" i="3"/>
  <c r="G482" i="3"/>
  <c r="L482" i="3" s="1"/>
  <c r="E482" i="3"/>
  <c r="N251" i="4" l="1"/>
  <c r="J251" i="4"/>
  <c r="M250" i="4"/>
  <c r="G251" i="4"/>
  <c r="D251" i="4"/>
  <c r="E251" i="4" s="1"/>
  <c r="F251" i="4" s="1"/>
  <c r="K483" i="3"/>
  <c r="B484" i="3" s="1"/>
  <c r="G483" i="3"/>
  <c r="E483" i="3"/>
  <c r="J483" i="3"/>
  <c r="F483" i="3"/>
  <c r="D483" i="3"/>
  <c r="C483" i="3"/>
  <c r="O251" i="4" l="1"/>
  <c r="P250" i="4"/>
  <c r="Q250" i="4" s="1"/>
  <c r="H251" i="4"/>
  <c r="K251" i="4"/>
  <c r="L251" i="4" s="1"/>
  <c r="C252" i="4" s="1"/>
  <c r="K484" i="3"/>
  <c r="B485" i="3" s="1"/>
  <c r="F484" i="3"/>
  <c r="D484" i="3"/>
  <c r="J484" i="3"/>
  <c r="C484" i="3"/>
  <c r="G484" i="3"/>
  <c r="E484" i="3"/>
  <c r="L483" i="3"/>
  <c r="N252" i="4" l="1"/>
  <c r="J252" i="4"/>
  <c r="M251" i="4"/>
  <c r="D252" i="4"/>
  <c r="E252" i="4" s="1"/>
  <c r="F252" i="4" s="1"/>
  <c r="G252" i="4"/>
  <c r="K485" i="3"/>
  <c r="B486" i="3" s="1"/>
  <c r="C485" i="3"/>
  <c r="G485" i="3"/>
  <c r="L485" i="3" s="1"/>
  <c r="E485" i="3"/>
  <c r="D485" i="3"/>
  <c r="F485" i="3"/>
  <c r="J485" i="3"/>
  <c r="L484" i="3"/>
  <c r="O252" i="4" l="1"/>
  <c r="P251" i="4"/>
  <c r="Q251" i="4" s="1"/>
  <c r="H252" i="4"/>
  <c r="K252" i="4"/>
  <c r="L252" i="4" s="1"/>
  <c r="C253" i="4" s="1"/>
  <c r="K486" i="3"/>
  <c r="B487" i="3" s="1"/>
  <c r="J486" i="3"/>
  <c r="F486" i="3"/>
  <c r="E486" i="3"/>
  <c r="D486" i="3"/>
  <c r="C486" i="3"/>
  <c r="G486" i="3"/>
  <c r="L486" i="3" s="1"/>
  <c r="N253" i="4" l="1"/>
  <c r="J253" i="4"/>
  <c r="M252" i="4"/>
  <c r="D253" i="4"/>
  <c r="E253" i="4" s="1"/>
  <c r="F253" i="4" s="1"/>
  <c r="G253" i="4"/>
  <c r="K487" i="3"/>
  <c r="B488" i="3" s="1"/>
  <c r="C487" i="3"/>
  <c r="G487" i="3"/>
  <c r="F487" i="3"/>
  <c r="E487" i="3"/>
  <c r="D487" i="3"/>
  <c r="J487" i="3"/>
  <c r="O253" i="4" l="1"/>
  <c r="H253" i="4"/>
  <c r="K253" i="4"/>
  <c r="L253" i="4" s="1"/>
  <c r="C254" i="4" s="1"/>
  <c r="P252" i="4"/>
  <c r="Q252" i="4" s="1"/>
  <c r="L487" i="3"/>
  <c r="K488" i="3"/>
  <c r="B489" i="3" s="1"/>
  <c r="D488" i="3"/>
  <c r="J488" i="3"/>
  <c r="G488" i="3"/>
  <c r="F488" i="3"/>
  <c r="E488" i="3"/>
  <c r="C488" i="3"/>
  <c r="J254" i="4" l="1"/>
  <c r="N254" i="4"/>
  <c r="M253" i="4"/>
  <c r="D254" i="4"/>
  <c r="E254" i="4" s="1"/>
  <c r="F254" i="4" s="1"/>
  <c r="G254" i="4"/>
  <c r="L488" i="3"/>
  <c r="K489" i="3"/>
  <c r="B490" i="3" s="1"/>
  <c r="E489" i="3"/>
  <c r="C489" i="3"/>
  <c r="G489" i="3"/>
  <c r="L489" i="3" s="1"/>
  <c r="F489" i="3"/>
  <c r="D489" i="3"/>
  <c r="J489" i="3"/>
  <c r="O254" i="4" l="1"/>
  <c r="P253" i="4"/>
  <c r="Q253" i="4" s="1"/>
  <c r="H254" i="4"/>
  <c r="K254" i="4"/>
  <c r="L254" i="4" s="1"/>
  <c r="C255" i="4" s="1"/>
  <c r="K490" i="3"/>
  <c r="B491" i="3" s="1"/>
  <c r="F490" i="3"/>
  <c r="D490" i="3"/>
  <c r="J490" i="3"/>
  <c r="C490" i="3"/>
  <c r="G490" i="3"/>
  <c r="E490" i="3"/>
  <c r="N255" i="4" l="1"/>
  <c r="J255" i="4"/>
  <c r="M254" i="4"/>
  <c r="D255" i="4"/>
  <c r="E255" i="4" s="1"/>
  <c r="F255" i="4" s="1"/>
  <c r="G255" i="4"/>
  <c r="L490" i="3"/>
  <c r="K491" i="3"/>
  <c r="B492" i="3" s="1"/>
  <c r="G491" i="3"/>
  <c r="E491" i="3"/>
  <c r="J491" i="3"/>
  <c r="C491" i="3"/>
  <c r="F491" i="3"/>
  <c r="D491" i="3"/>
  <c r="O255" i="4" l="1"/>
  <c r="P254" i="4"/>
  <c r="Q254" i="4" s="1"/>
  <c r="H255" i="4"/>
  <c r="K255" i="4"/>
  <c r="L255" i="4" s="1"/>
  <c r="C256" i="4" s="1"/>
  <c r="L491" i="3"/>
  <c r="K492" i="3"/>
  <c r="B493" i="3" s="1"/>
  <c r="F492" i="3"/>
  <c r="D492" i="3"/>
  <c r="G492" i="3"/>
  <c r="L492" i="3" s="1"/>
  <c r="E492" i="3"/>
  <c r="J492" i="3"/>
  <c r="C492" i="3"/>
  <c r="N256" i="4" l="1"/>
  <c r="J256" i="4"/>
  <c r="M255" i="4"/>
  <c r="D256" i="4"/>
  <c r="E256" i="4" s="1"/>
  <c r="F256" i="4" s="1"/>
  <c r="G256" i="4"/>
  <c r="C493" i="3"/>
  <c r="G493" i="3"/>
  <c r="K493" i="3"/>
  <c r="B494" i="3" s="1"/>
  <c r="E493" i="3"/>
  <c r="D493" i="3"/>
  <c r="J493" i="3"/>
  <c r="F493" i="3"/>
  <c r="O256" i="4" l="1"/>
  <c r="P255" i="4"/>
  <c r="Q255" i="4" s="1"/>
  <c r="H256" i="4"/>
  <c r="K256" i="4"/>
  <c r="L256" i="4" s="1"/>
  <c r="C257" i="4" s="1"/>
  <c r="L493" i="3"/>
  <c r="J494" i="3"/>
  <c r="F494" i="3"/>
  <c r="E494" i="3"/>
  <c r="K494" i="3"/>
  <c r="B495" i="3" s="1"/>
  <c r="G494" i="3"/>
  <c r="L494" i="3" s="1"/>
  <c r="D494" i="3"/>
  <c r="C494" i="3"/>
  <c r="N257" i="4" l="1"/>
  <c r="J257" i="4"/>
  <c r="M256" i="4"/>
  <c r="G257" i="4"/>
  <c r="D257" i="4"/>
  <c r="E257" i="4" s="1"/>
  <c r="F257" i="4" s="1"/>
  <c r="K495" i="3"/>
  <c r="B496" i="3" s="1"/>
  <c r="C495" i="3"/>
  <c r="G495" i="3"/>
  <c r="F495" i="3"/>
  <c r="E495" i="3"/>
  <c r="D495" i="3"/>
  <c r="J495" i="3"/>
  <c r="O257" i="4" l="1"/>
  <c r="P256" i="4"/>
  <c r="Q256" i="4" s="1"/>
  <c r="H257" i="4"/>
  <c r="K257" i="4"/>
  <c r="L257" i="4" s="1"/>
  <c r="L495" i="3"/>
  <c r="D496" i="3"/>
  <c r="K496" i="3"/>
  <c r="B497" i="3" s="1"/>
  <c r="J496" i="3"/>
  <c r="G496" i="3"/>
  <c r="F496" i="3"/>
  <c r="E496" i="3"/>
  <c r="C496" i="3"/>
  <c r="M257" i="4" l="1"/>
  <c r="C258" i="4"/>
  <c r="E497" i="3"/>
  <c r="K497" i="3"/>
  <c r="B498" i="3" s="1"/>
  <c r="C497" i="3"/>
  <c r="G497" i="3"/>
  <c r="F497" i="3"/>
  <c r="D497" i="3"/>
  <c r="J497" i="3"/>
  <c r="L496" i="3"/>
  <c r="N258" i="4" l="1"/>
  <c r="J258" i="4"/>
  <c r="P257" i="4"/>
  <c r="Q257" i="4" s="1"/>
  <c r="D258" i="4"/>
  <c r="E258" i="4" s="1"/>
  <c r="F258" i="4" s="1"/>
  <c r="G258" i="4"/>
  <c r="F498" i="3"/>
  <c r="D498" i="3"/>
  <c r="J498" i="3"/>
  <c r="C498" i="3"/>
  <c r="K498" i="3"/>
  <c r="B499" i="3" s="1"/>
  <c r="G498" i="3"/>
  <c r="E498" i="3"/>
  <c r="L497" i="3"/>
  <c r="O258" i="4" l="1"/>
  <c r="H258" i="4"/>
  <c r="K258" i="4"/>
  <c r="L258" i="4" s="1"/>
  <c r="C259" i="4" s="1"/>
  <c r="K499" i="3"/>
  <c r="B500" i="3" s="1"/>
  <c r="G499" i="3"/>
  <c r="E499" i="3"/>
  <c r="J499" i="3"/>
  <c r="F499" i="3"/>
  <c r="D499" i="3"/>
  <c r="C499" i="3"/>
  <c r="L498" i="3"/>
  <c r="N259" i="4" l="1"/>
  <c r="J259" i="4"/>
  <c r="M258" i="4"/>
  <c r="D259" i="4"/>
  <c r="E259" i="4" s="1"/>
  <c r="F259" i="4" s="1"/>
  <c r="G259" i="4"/>
  <c r="L499" i="3"/>
  <c r="P6" i="3"/>
  <c r="K500" i="3"/>
  <c r="B501" i="3" s="1"/>
  <c r="F500" i="3"/>
  <c r="P7" i="3" s="1"/>
  <c r="D500" i="3"/>
  <c r="J500" i="3"/>
  <c r="C500" i="3"/>
  <c r="G500" i="3"/>
  <c r="L500" i="3" s="1"/>
  <c r="E500" i="3"/>
  <c r="O259" i="4" l="1"/>
  <c r="P258" i="4"/>
  <c r="Q258" i="4" s="1"/>
  <c r="H259" i="4"/>
  <c r="K259" i="4"/>
  <c r="L259" i="4" s="1"/>
  <c r="C260" i="4" s="1"/>
  <c r="C501" i="3"/>
  <c r="G501" i="3"/>
  <c r="K501" i="3"/>
  <c r="B502" i="3" s="1"/>
  <c r="E501" i="3"/>
  <c r="D501" i="3"/>
  <c r="F501" i="3"/>
  <c r="J501" i="3"/>
  <c r="N260" i="4" l="1"/>
  <c r="J260" i="4"/>
  <c r="M259" i="4"/>
  <c r="G260" i="4"/>
  <c r="D260" i="4"/>
  <c r="E260" i="4" s="1"/>
  <c r="F260" i="4" s="1"/>
  <c r="P4" i="3"/>
  <c r="P8" i="3" s="1"/>
  <c r="G8" i="3"/>
  <c r="L501" i="3"/>
  <c r="G7" i="3" s="1"/>
  <c r="D502" i="3"/>
  <c r="K502" i="3"/>
  <c r="E502" i="3"/>
  <c r="C502" i="3"/>
  <c r="O260" i="4" l="1"/>
  <c r="H260" i="4"/>
  <c r="K260" i="4"/>
  <c r="L260" i="4" s="1"/>
  <c r="P259" i="4"/>
  <c r="Q259" i="4" s="1"/>
  <c r="M260" i="4" l="1"/>
  <c r="C261" i="4"/>
  <c r="N261" i="4" l="1"/>
  <c r="J261" i="4"/>
  <c r="P260" i="4"/>
  <c r="Q260" i="4" s="1"/>
  <c r="G261" i="4"/>
  <c r="D261" i="4"/>
  <c r="E261" i="4" s="1"/>
  <c r="F261" i="4" s="1"/>
  <c r="O261" i="4" l="1"/>
  <c r="H261" i="4"/>
  <c r="K261" i="4"/>
  <c r="L261" i="4" s="1"/>
  <c r="C262" i="4" s="1"/>
  <c r="J262" i="4" l="1"/>
  <c r="N262" i="4"/>
  <c r="M261" i="4"/>
  <c r="D262" i="4"/>
  <c r="E262" i="4" s="1"/>
  <c r="F262" i="4" s="1"/>
  <c r="G262" i="4"/>
  <c r="O262" i="4" l="1"/>
  <c r="P261" i="4"/>
  <c r="Q261" i="4" s="1"/>
  <c r="H262" i="4"/>
  <c r="K262" i="4"/>
  <c r="L262" i="4" s="1"/>
  <c r="C263" i="4" s="1"/>
  <c r="N263" i="4" l="1"/>
  <c r="J263" i="4"/>
  <c r="M262" i="4"/>
  <c r="D263" i="4"/>
  <c r="E263" i="4" s="1"/>
  <c r="F263" i="4" s="1"/>
  <c r="G263" i="4"/>
  <c r="O263" i="4" l="1"/>
  <c r="P262" i="4"/>
  <c r="Q262" i="4" s="1"/>
  <c r="H263" i="4"/>
  <c r="K263" i="4"/>
  <c r="L263" i="4" s="1"/>
  <c r="C264" i="4" s="1"/>
  <c r="N264" i="4" l="1"/>
  <c r="J264" i="4"/>
  <c r="M263" i="4"/>
  <c r="D264" i="4"/>
  <c r="E264" i="4" s="1"/>
  <c r="F264" i="4" s="1"/>
  <c r="G264" i="4"/>
  <c r="O264" i="4" l="1"/>
  <c r="P263" i="4"/>
  <c r="Q263" i="4" s="1"/>
  <c r="H264" i="4"/>
  <c r="K264" i="4"/>
  <c r="L264" i="4" s="1"/>
  <c r="C265" i="4" s="1"/>
  <c r="N265" i="4" l="1"/>
  <c r="J265" i="4"/>
  <c r="M264" i="4"/>
  <c r="D265" i="4"/>
  <c r="E265" i="4" s="1"/>
  <c r="F265" i="4" s="1"/>
  <c r="G265" i="4"/>
  <c r="O265" i="4" l="1"/>
  <c r="P264" i="4"/>
  <c r="Q264" i="4" s="1"/>
  <c r="H265" i="4"/>
  <c r="K265" i="4"/>
  <c r="L265" i="4" s="1"/>
  <c r="C266" i="4" s="1"/>
  <c r="N266" i="4" l="1"/>
  <c r="J266" i="4"/>
  <c r="M265" i="4"/>
  <c r="D266" i="4"/>
  <c r="E266" i="4" s="1"/>
  <c r="F266" i="4" s="1"/>
  <c r="G266" i="4"/>
  <c r="O266" i="4" l="1"/>
  <c r="P265" i="4"/>
  <c r="Q265" i="4" s="1"/>
  <c r="H266" i="4"/>
  <c r="K266" i="4"/>
  <c r="L266" i="4" s="1"/>
  <c r="M266" i="4" l="1"/>
  <c r="C267" i="4"/>
  <c r="N267" i="4" l="1"/>
  <c r="J267" i="4"/>
  <c r="P266" i="4"/>
  <c r="Q266" i="4" s="1"/>
  <c r="G267" i="4"/>
  <c r="D267" i="4"/>
  <c r="E267" i="4" s="1"/>
  <c r="F267" i="4" s="1"/>
  <c r="O267" i="4" l="1"/>
  <c r="H267" i="4"/>
  <c r="K267" i="4"/>
  <c r="L267" i="4" s="1"/>
  <c r="M267" i="4" l="1"/>
  <c r="C268" i="4"/>
  <c r="N268" i="4" l="1"/>
  <c r="J268" i="4"/>
  <c r="P267" i="4"/>
  <c r="Q267" i="4" s="1"/>
  <c r="G268" i="4"/>
  <c r="D268" i="4"/>
  <c r="E268" i="4" s="1"/>
  <c r="F268" i="4" s="1"/>
  <c r="O268" i="4" l="1"/>
  <c r="H268" i="4"/>
  <c r="K268" i="4"/>
  <c r="L268" i="4" s="1"/>
  <c r="C269" i="4" s="1"/>
  <c r="N269" i="4" l="1"/>
  <c r="J269" i="4"/>
  <c r="M268" i="4"/>
  <c r="D269" i="4"/>
  <c r="E269" i="4" s="1"/>
  <c r="F269" i="4" s="1"/>
  <c r="G269" i="4"/>
  <c r="O269" i="4" l="1"/>
  <c r="P268" i="4"/>
  <c r="Q268" i="4" s="1"/>
  <c r="H269" i="4"/>
  <c r="K269" i="4"/>
  <c r="L269" i="4" s="1"/>
  <c r="C270" i="4" s="1"/>
  <c r="J270" i="4" l="1"/>
  <c r="N270" i="4"/>
  <c r="M269" i="4"/>
  <c r="D270" i="4"/>
  <c r="E270" i="4" s="1"/>
  <c r="F270" i="4" s="1"/>
  <c r="G270" i="4"/>
  <c r="O270" i="4" l="1"/>
  <c r="P269" i="4"/>
  <c r="Q269" i="4" s="1"/>
  <c r="H270" i="4"/>
  <c r="K270" i="4"/>
  <c r="L270" i="4" s="1"/>
  <c r="M270" i="4" l="1"/>
  <c r="C271" i="4"/>
  <c r="N271" i="4" l="1"/>
  <c r="J271" i="4"/>
  <c r="P270" i="4"/>
  <c r="Q270" i="4" s="1"/>
  <c r="D271" i="4"/>
  <c r="E271" i="4" s="1"/>
  <c r="F271" i="4" s="1"/>
  <c r="G271" i="4"/>
  <c r="O271" i="4" l="1"/>
  <c r="H271" i="4"/>
  <c r="K271" i="4"/>
  <c r="L271" i="4" s="1"/>
  <c r="M271" i="4" l="1"/>
  <c r="C272" i="4"/>
  <c r="N272" i="4" l="1"/>
  <c r="J272" i="4"/>
  <c r="P271" i="4"/>
  <c r="Q271" i="4" s="1"/>
  <c r="D272" i="4"/>
  <c r="E272" i="4" s="1"/>
  <c r="F272" i="4" s="1"/>
  <c r="G272" i="4"/>
  <c r="O272" i="4" l="1"/>
  <c r="H272" i="4"/>
  <c r="K272" i="4"/>
  <c r="L272" i="4" s="1"/>
  <c r="C273" i="4" s="1"/>
  <c r="N273" i="4" l="1"/>
  <c r="J273" i="4"/>
  <c r="M272" i="4"/>
  <c r="D273" i="4"/>
  <c r="E273" i="4" s="1"/>
  <c r="F273" i="4" s="1"/>
  <c r="G273" i="4"/>
  <c r="O273" i="4" l="1"/>
  <c r="P272" i="4"/>
  <c r="Q272" i="4" s="1"/>
  <c r="H273" i="4"/>
  <c r="K273" i="4"/>
  <c r="L273" i="4" s="1"/>
  <c r="C274" i="4" s="1"/>
  <c r="N274" i="4" l="1"/>
  <c r="J274" i="4"/>
  <c r="M273" i="4"/>
  <c r="D274" i="4"/>
  <c r="E274" i="4" s="1"/>
  <c r="F274" i="4" s="1"/>
  <c r="G274" i="4"/>
  <c r="O274" i="4" l="1"/>
  <c r="P273" i="4"/>
  <c r="Q273" i="4" s="1"/>
  <c r="H274" i="4"/>
  <c r="K274" i="4"/>
  <c r="L274" i="4" s="1"/>
  <c r="M274" i="4" l="1"/>
  <c r="C275" i="4"/>
  <c r="N275" i="4" l="1"/>
  <c r="J275" i="4"/>
  <c r="P274" i="4"/>
  <c r="Q274" i="4" s="1"/>
  <c r="G275" i="4"/>
  <c r="D275" i="4"/>
  <c r="E275" i="4" s="1"/>
  <c r="F275" i="4" s="1"/>
  <c r="O275" i="4" l="1"/>
  <c r="H275" i="4"/>
  <c r="K275" i="4"/>
  <c r="L275" i="4" s="1"/>
  <c r="M275" i="4" l="1"/>
  <c r="C276" i="4"/>
  <c r="N276" i="4" l="1"/>
  <c r="J276" i="4"/>
  <c r="P275" i="4"/>
  <c r="Q275" i="4" s="1"/>
  <c r="D276" i="4"/>
  <c r="E276" i="4" s="1"/>
  <c r="F276" i="4" s="1"/>
  <c r="G276" i="4"/>
  <c r="O276" i="4" l="1"/>
  <c r="H276" i="4"/>
  <c r="K276" i="4"/>
  <c r="L276" i="4" s="1"/>
  <c r="C277" i="4" s="1"/>
  <c r="N277" i="4" l="1"/>
  <c r="J277" i="4"/>
  <c r="M276" i="4"/>
  <c r="G277" i="4"/>
  <c r="D277" i="4"/>
  <c r="E277" i="4" s="1"/>
  <c r="F277" i="4" s="1"/>
  <c r="O277" i="4" l="1"/>
  <c r="P276" i="4"/>
  <c r="Q276" i="4" s="1"/>
  <c r="H277" i="4"/>
  <c r="K277" i="4"/>
  <c r="L277" i="4" s="1"/>
  <c r="M277" i="4" l="1"/>
  <c r="C278" i="4"/>
  <c r="J278" i="4" l="1"/>
  <c r="N278" i="4"/>
  <c r="P277" i="4"/>
  <c r="Q277" i="4" s="1"/>
  <c r="D278" i="4"/>
  <c r="E278" i="4" s="1"/>
  <c r="F278" i="4" s="1"/>
  <c r="G278" i="4"/>
  <c r="O278" i="4" l="1"/>
  <c r="H278" i="4"/>
  <c r="K278" i="4"/>
  <c r="L278" i="4" s="1"/>
  <c r="M278" i="4" l="1"/>
  <c r="C279" i="4"/>
  <c r="N279" i="4" l="1"/>
  <c r="J279" i="4"/>
  <c r="P278" i="4"/>
  <c r="Q278" i="4" s="1"/>
  <c r="D279" i="4"/>
  <c r="E279" i="4" s="1"/>
  <c r="F279" i="4" s="1"/>
  <c r="G279" i="4"/>
  <c r="O279" i="4" l="1"/>
  <c r="H279" i="4"/>
  <c r="K279" i="4"/>
  <c r="L279" i="4" s="1"/>
  <c r="C280" i="4" s="1"/>
  <c r="N280" i="4" l="1"/>
  <c r="J280" i="4"/>
  <c r="M279" i="4"/>
  <c r="G280" i="4"/>
  <c r="D280" i="4"/>
  <c r="E280" i="4" s="1"/>
  <c r="F280" i="4" s="1"/>
  <c r="O280" i="4" l="1"/>
  <c r="P279" i="4"/>
  <c r="Q279" i="4" s="1"/>
  <c r="H280" i="4"/>
  <c r="K280" i="4"/>
  <c r="L280" i="4" s="1"/>
  <c r="M280" i="4" l="1"/>
  <c r="C281" i="4"/>
  <c r="N281" i="4" l="1"/>
  <c r="J281" i="4"/>
  <c r="P280" i="4"/>
  <c r="Q280" i="4" s="1"/>
  <c r="D281" i="4"/>
  <c r="E281" i="4" s="1"/>
  <c r="F281" i="4" s="1"/>
  <c r="G281" i="4"/>
  <c r="O281" i="4" l="1"/>
  <c r="H281" i="4"/>
  <c r="K281" i="4"/>
  <c r="L281" i="4" s="1"/>
  <c r="C282" i="4" s="1"/>
  <c r="N282" i="4" l="1"/>
  <c r="J282" i="4"/>
  <c r="M281" i="4"/>
  <c r="D282" i="4"/>
  <c r="E282" i="4" s="1"/>
  <c r="F282" i="4" s="1"/>
  <c r="G282" i="4"/>
  <c r="O282" i="4" l="1"/>
  <c r="P281" i="4"/>
  <c r="Q281" i="4" s="1"/>
  <c r="H282" i="4"/>
  <c r="K282" i="4"/>
  <c r="L282" i="4" s="1"/>
  <c r="C283" i="4" s="1"/>
  <c r="N283" i="4" l="1"/>
  <c r="J283" i="4"/>
  <c r="M282" i="4"/>
  <c r="G283" i="4"/>
  <c r="D283" i="4"/>
  <c r="E283" i="4" s="1"/>
  <c r="F283" i="4" s="1"/>
  <c r="O283" i="4" l="1"/>
  <c r="P282" i="4"/>
  <c r="Q282" i="4" s="1"/>
  <c r="H283" i="4"/>
  <c r="K283" i="4"/>
  <c r="L283" i="4" s="1"/>
  <c r="M283" i="4" l="1"/>
  <c r="C284" i="4"/>
  <c r="N284" i="4" l="1"/>
  <c r="J284" i="4"/>
  <c r="P283" i="4"/>
  <c r="Q283" i="4" s="1"/>
  <c r="G284" i="4"/>
  <c r="D284" i="4"/>
  <c r="E284" i="4" s="1"/>
  <c r="F284" i="4" s="1"/>
  <c r="O284" i="4" l="1"/>
  <c r="H284" i="4"/>
  <c r="K284" i="4"/>
  <c r="L284" i="4" s="1"/>
  <c r="M284" i="4" l="1"/>
  <c r="C285" i="4"/>
  <c r="N285" i="4" l="1"/>
  <c r="J285" i="4"/>
  <c r="P284" i="4"/>
  <c r="Q284" i="4" s="1"/>
  <c r="G285" i="4"/>
  <c r="D285" i="4"/>
  <c r="E285" i="4" s="1"/>
  <c r="F285" i="4" s="1"/>
  <c r="O285" i="4" l="1"/>
  <c r="H285" i="4"/>
  <c r="K285" i="4"/>
  <c r="L285" i="4" s="1"/>
  <c r="M285" i="4" l="1"/>
  <c r="C286" i="4"/>
  <c r="J286" i="4" l="1"/>
  <c r="N286" i="4"/>
  <c r="P285" i="4"/>
  <c r="Q285" i="4" s="1"/>
  <c r="G286" i="4"/>
  <c r="D286" i="4"/>
  <c r="E286" i="4" s="1"/>
  <c r="F286" i="4" s="1"/>
  <c r="O286" i="4" l="1"/>
  <c r="H286" i="4"/>
  <c r="K286" i="4"/>
  <c r="L286" i="4" s="1"/>
  <c r="M286" i="4" l="1"/>
  <c r="C287" i="4"/>
  <c r="N287" i="4" l="1"/>
  <c r="J287" i="4"/>
  <c r="P286" i="4"/>
  <c r="Q286" i="4" s="1"/>
  <c r="G287" i="4"/>
  <c r="D287" i="4"/>
  <c r="E287" i="4" s="1"/>
  <c r="F287" i="4" s="1"/>
  <c r="O287" i="4" l="1"/>
  <c r="H287" i="4"/>
  <c r="K287" i="4"/>
  <c r="L287" i="4" s="1"/>
  <c r="M287" i="4" l="1"/>
  <c r="C288" i="4"/>
  <c r="N288" i="4" l="1"/>
  <c r="J288" i="4"/>
  <c r="P287" i="4"/>
  <c r="Q287" i="4" s="1"/>
  <c r="D288" i="4"/>
  <c r="E288" i="4" s="1"/>
  <c r="F288" i="4" s="1"/>
  <c r="G288" i="4"/>
  <c r="O288" i="4" l="1"/>
  <c r="H288" i="4"/>
  <c r="K288" i="4"/>
  <c r="L288" i="4" s="1"/>
  <c r="C289" i="4" s="1"/>
  <c r="N289" i="4" l="1"/>
  <c r="J289" i="4"/>
  <c r="M288" i="4"/>
  <c r="G289" i="4"/>
  <c r="D289" i="4"/>
  <c r="E289" i="4" s="1"/>
  <c r="F289" i="4" s="1"/>
  <c r="O289" i="4" l="1"/>
  <c r="P288" i="4"/>
  <c r="Q288" i="4" s="1"/>
  <c r="H289" i="4"/>
  <c r="K289" i="4"/>
  <c r="L289" i="4" s="1"/>
  <c r="M289" i="4" l="1"/>
  <c r="C290" i="4"/>
  <c r="N290" i="4" l="1"/>
  <c r="J290" i="4"/>
  <c r="P289" i="4"/>
  <c r="Q289" i="4" s="1"/>
  <c r="D290" i="4"/>
  <c r="E290" i="4" s="1"/>
  <c r="F290" i="4" s="1"/>
  <c r="G290" i="4"/>
  <c r="O290" i="4" l="1"/>
  <c r="H290" i="4"/>
  <c r="K290" i="4"/>
  <c r="L290" i="4" s="1"/>
  <c r="C291" i="4" s="1"/>
  <c r="N291" i="4" l="1"/>
  <c r="J291" i="4"/>
  <c r="M290" i="4"/>
  <c r="G291" i="4"/>
  <c r="D291" i="4"/>
  <c r="E291" i="4" s="1"/>
  <c r="F291" i="4" s="1"/>
  <c r="O291" i="4" l="1"/>
  <c r="P290" i="4"/>
  <c r="Q290" i="4" s="1"/>
  <c r="H291" i="4"/>
  <c r="K291" i="4"/>
  <c r="L291" i="4" s="1"/>
  <c r="M291" i="4" l="1"/>
  <c r="C292" i="4"/>
  <c r="N292" i="4" l="1"/>
  <c r="J292" i="4"/>
  <c r="P291" i="4"/>
  <c r="Q291" i="4" s="1"/>
  <c r="G292" i="4"/>
  <c r="D292" i="4"/>
  <c r="E292" i="4" s="1"/>
  <c r="F292" i="4" s="1"/>
  <c r="O292" i="4" l="1"/>
  <c r="H292" i="4"/>
  <c r="K292" i="4"/>
  <c r="L292" i="4" s="1"/>
  <c r="M292" i="4" l="1"/>
  <c r="C293" i="4"/>
  <c r="N293" i="4" l="1"/>
  <c r="J293" i="4"/>
  <c r="P292" i="4"/>
  <c r="Q292" i="4" s="1"/>
  <c r="D293" i="4"/>
  <c r="E293" i="4" s="1"/>
  <c r="F293" i="4" s="1"/>
  <c r="G293" i="4"/>
  <c r="O293" i="4" l="1"/>
  <c r="H293" i="4"/>
  <c r="K293" i="4"/>
  <c r="L293" i="4" s="1"/>
  <c r="M293" i="4" l="1"/>
  <c r="C294" i="4"/>
  <c r="N294" i="4" l="1"/>
  <c r="J294" i="4"/>
  <c r="P293" i="4"/>
  <c r="Q293" i="4" s="1"/>
  <c r="D294" i="4"/>
  <c r="E294" i="4" s="1"/>
  <c r="F294" i="4" s="1"/>
  <c r="G294" i="4"/>
  <c r="O294" i="4" l="1"/>
  <c r="H294" i="4"/>
  <c r="K294" i="4"/>
  <c r="L294" i="4" s="1"/>
  <c r="M294" i="4" l="1"/>
  <c r="C295" i="4"/>
  <c r="N295" i="4" l="1"/>
  <c r="J295" i="4"/>
  <c r="P294" i="4"/>
  <c r="Q294" i="4" s="1"/>
  <c r="D295" i="4"/>
  <c r="E295" i="4" s="1"/>
  <c r="F295" i="4" s="1"/>
  <c r="G295" i="4"/>
  <c r="O295" i="4" l="1"/>
  <c r="H295" i="4"/>
  <c r="K295" i="4"/>
  <c r="L295" i="4" s="1"/>
  <c r="M295" i="4" l="1"/>
  <c r="C296" i="4"/>
  <c r="N296" i="4" l="1"/>
  <c r="J296" i="4"/>
  <c r="P295" i="4"/>
  <c r="Q295" i="4" s="1"/>
  <c r="D296" i="4"/>
  <c r="E296" i="4" s="1"/>
  <c r="F296" i="4" s="1"/>
  <c r="G296" i="4"/>
  <c r="O296" i="4" l="1"/>
  <c r="H296" i="4"/>
  <c r="K296" i="4"/>
  <c r="L296" i="4" s="1"/>
  <c r="C297" i="4" s="1"/>
  <c r="N297" i="4" l="1"/>
  <c r="J297" i="4"/>
  <c r="M296" i="4"/>
  <c r="D297" i="4"/>
  <c r="E297" i="4" s="1"/>
  <c r="F297" i="4" s="1"/>
  <c r="G297" i="4"/>
  <c r="O297" i="4" l="1"/>
  <c r="P296" i="4"/>
  <c r="Q296" i="4" s="1"/>
  <c r="H297" i="4"/>
  <c r="K297" i="4"/>
  <c r="L297" i="4" s="1"/>
  <c r="C298" i="4" s="1"/>
  <c r="N298" i="4" l="1"/>
  <c r="J298" i="4"/>
  <c r="M297" i="4"/>
  <c r="G298" i="4"/>
  <c r="D298" i="4"/>
  <c r="E298" i="4" s="1"/>
  <c r="F298" i="4" s="1"/>
  <c r="O298" i="4" l="1"/>
  <c r="P297" i="4"/>
  <c r="Q297" i="4" s="1"/>
  <c r="H298" i="4"/>
  <c r="K298" i="4"/>
  <c r="L298" i="4" s="1"/>
  <c r="M298" i="4" l="1"/>
  <c r="C299" i="4"/>
  <c r="N299" i="4" l="1"/>
  <c r="J299" i="4"/>
  <c r="P298" i="4"/>
  <c r="Q298" i="4" s="1"/>
  <c r="G299" i="4"/>
  <c r="D299" i="4"/>
  <c r="E299" i="4" s="1"/>
  <c r="F299" i="4" s="1"/>
  <c r="O299" i="4" l="1"/>
  <c r="H299" i="4"/>
  <c r="K299" i="4"/>
  <c r="L299" i="4" s="1"/>
  <c r="M299" i="4" l="1"/>
  <c r="C300" i="4"/>
  <c r="N300" i="4" l="1"/>
  <c r="J300" i="4"/>
  <c r="P299" i="4"/>
  <c r="Q299" i="4" s="1"/>
  <c r="D300" i="4"/>
  <c r="E300" i="4" s="1"/>
  <c r="F300" i="4" s="1"/>
  <c r="G300" i="4"/>
  <c r="O300" i="4" l="1"/>
  <c r="H300" i="4"/>
  <c r="K300" i="4"/>
  <c r="L300" i="4" s="1"/>
  <c r="C301" i="4" s="1"/>
  <c r="N301" i="4" l="1"/>
  <c r="J301" i="4"/>
  <c r="M300" i="4"/>
  <c r="D301" i="4"/>
  <c r="E301" i="4" s="1"/>
  <c r="F301" i="4" s="1"/>
  <c r="G301" i="4"/>
  <c r="O301" i="4" l="1"/>
  <c r="P300" i="4"/>
  <c r="Q300" i="4" s="1"/>
  <c r="H301" i="4"/>
  <c r="K301" i="4"/>
  <c r="L301" i="4" s="1"/>
  <c r="M301" i="4" l="1"/>
  <c r="C302" i="4"/>
  <c r="J302" i="4" l="1"/>
  <c r="N302" i="4"/>
  <c r="P301" i="4"/>
  <c r="Q301" i="4" s="1"/>
  <c r="D302" i="4"/>
  <c r="E302" i="4" s="1"/>
  <c r="F302" i="4" s="1"/>
  <c r="G302" i="4"/>
  <c r="O302" i="4" l="1"/>
  <c r="H302" i="4"/>
  <c r="K302" i="4"/>
  <c r="L302" i="4" s="1"/>
  <c r="C303" i="4" s="1"/>
  <c r="N303" i="4" l="1"/>
  <c r="J303" i="4"/>
  <c r="M302" i="4"/>
  <c r="G303" i="4"/>
  <c r="D303" i="4"/>
  <c r="E303" i="4" s="1"/>
  <c r="F303" i="4" s="1"/>
  <c r="O303" i="4" l="1"/>
  <c r="H303" i="4"/>
  <c r="P302" i="4"/>
  <c r="Q302" i="4" s="1"/>
  <c r="K303" i="4" l="1"/>
  <c r="L303" i="4" s="1"/>
  <c r="C304" i="4" s="1"/>
  <c r="N304" i="4" l="1"/>
  <c r="J304" i="4"/>
  <c r="M303" i="4"/>
  <c r="P303" i="4" s="1"/>
  <c r="Q303" i="4" s="1"/>
  <c r="D304" i="4"/>
  <c r="E304" i="4" s="1"/>
  <c r="F304" i="4" s="1"/>
  <c r="G304" i="4"/>
  <c r="O304" i="4" l="1"/>
  <c r="H304" i="4"/>
  <c r="K304" i="4"/>
  <c r="L304" i="4" s="1"/>
  <c r="C305" i="4" s="1"/>
  <c r="N305" i="4" l="1"/>
  <c r="J305" i="4"/>
  <c r="G305" i="4"/>
  <c r="D305" i="4"/>
  <c r="E305" i="4" s="1"/>
  <c r="F305" i="4" s="1"/>
  <c r="M304" i="4"/>
  <c r="O305" i="4" l="1"/>
  <c r="P304" i="4"/>
  <c r="Q304" i="4" s="1"/>
  <c r="H305" i="4"/>
  <c r="K305" i="4" l="1"/>
  <c r="L305" i="4" s="1"/>
  <c r="C306" i="4" s="1"/>
  <c r="N306" i="4" l="1"/>
  <c r="J306" i="4"/>
  <c r="D306" i="4"/>
  <c r="E306" i="4" s="1"/>
  <c r="F306" i="4" s="1"/>
  <c r="M305" i="4"/>
  <c r="P305" i="4" s="1"/>
  <c r="Q305" i="4" s="1"/>
  <c r="G306" i="4"/>
  <c r="H306" i="4" l="1"/>
  <c r="M306" i="4" s="1"/>
  <c r="K306" i="4"/>
  <c r="L306" i="4" s="1"/>
  <c r="C307" i="4" s="1"/>
  <c r="O306" i="4"/>
  <c r="N307" i="4" l="1"/>
  <c r="J307" i="4"/>
  <c r="P306" i="4"/>
  <c r="Q306" i="4" s="1"/>
  <c r="G307" i="4"/>
  <c r="D307" i="4"/>
  <c r="E307" i="4" s="1"/>
  <c r="F307" i="4" s="1"/>
  <c r="O307" i="4" l="1"/>
  <c r="H307" i="4"/>
  <c r="K307" i="4"/>
  <c r="L307" i="4" s="1"/>
  <c r="M307" i="4" l="1"/>
  <c r="C308" i="4"/>
  <c r="N308" i="4" l="1"/>
  <c r="J308" i="4"/>
  <c r="P307" i="4"/>
  <c r="Q307" i="4" s="1"/>
  <c r="G308" i="4"/>
  <c r="D308" i="4"/>
  <c r="E308" i="4" s="1"/>
  <c r="F308" i="4" s="1"/>
  <c r="O308" i="4" l="1"/>
  <c r="H308" i="4"/>
  <c r="K308" i="4"/>
  <c r="L308" i="4" s="1"/>
  <c r="M308" i="4" l="1"/>
  <c r="C309" i="4"/>
  <c r="N309" i="4" l="1"/>
  <c r="J309" i="4"/>
  <c r="P308" i="4"/>
  <c r="Q308" i="4" s="1"/>
  <c r="D309" i="4"/>
  <c r="E309" i="4" s="1"/>
  <c r="F309" i="4" s="1"/>
  <c r="G309" i="4"/>
  <c r="O309" i="4" l="1"/>
  <c r="H309" i="4"/>
  <c r="K309" i="4"/>
  <c r="L309" i="4" s="1"/>
  <c r="M309" i="4" l="1"/>
  <c r="C310" i="4"/>
  <c r="J310" i="4" l="1"/>
  <c r="N310" i="4"/>
  <c r="P309" i="4"/>
  <c r="Q309" i="4" s="1"/>
  <c r="G310" i="4"/>
  <c r="D310" i="4"/>
  <c r="E310" i="4" s="1"/>
  <c r="F310" i="4" s="1"/>
  <c r="O310" i="4" l="1"/>
  <c r="H310" i="4"/>
  <c r="K310" i="4"/>
  <c r="L310" i="4" s="1"/>
  <c r="M310" i="4" l="1"/>
  <c r="C311" i="4"/>
  <c r="N311" i="4" l="1"/>
  <c r="J311" i="4"/>
  <c r="P310" i="4"/>
  <c r="Q310" i="4" s="1"/>
  <c r="D311" i="4"/>
  <c r="E311" i="4" s="1"/>
  <c r="F311" i="4" s="1"/>
  <c r="G311" i="4"/>
  <c r="O311" i="4" l="1"/>
  <c r="H311" i="4"/>
  <c r="K311" i="4"/>
  <c r="L311" i="4" s="1"/>
  <c r="C312" i="4" s="1"/>
  <c r="N312" i="4" l="1"/>
  <c r="J312" i="4"/>
  <c r="M311" i="4"/>
  <c r="G312" i="4"/>
  <c r="D312" i="4"/>
  <c r="E312" i="4" s="1"/>
  <c r="F312" i="4" s="1"/>
  <c r="O312" i="4" l="1"/>
  <c r="H312" i="4"/>
  <c r="K312" i="4"/>
  <c r="L312" i="4" s="1"/>
  <c r="P311" i="4"/>
  <c r="Q311" i="4" s="1"/>
  <c r="M312" i="4" l="1"/>
  <c r="C313" i="4"/>
  <c r="N313" i="4" l="1"/>
  <c r="J313" i="4"/>
  <c r="P312" i="4"/>
  <c r="Q312" i="4" s="1"/>
  <c r="D313" i="4"/>
  <c r="E313" i="4" s="1"/>
  <c r="F313" i="4" s="1"/>
  <c r="G313" i="4"/>
  <c r="O313" i="4" l="1"/>
  <c r="H313" i="4"/>
  <c r="K313" i="4"/>
  <c r="L313" i="4" s="1"/>
  <c r="C314" i="4" s="1"/>
  <c r="N314" i="4" l="1"/>
  <c r="J314" i="4"/>
  <c r="M313" i="4"/>
  <c r="G314" i="4"/>
  <c r="D314" i="4"/>
  <c r="E314" i="4" s="1"/>
  <c r="F314" i="4" s="1"/>
  <c r="O314" i="4" l="1"/>
  <c r="H314" i="4"/>
  <c r="K314" i="4"/>
  <c r="L314" i="4" s="1"/>
  <c r="C315" i="4" s="1"/>
  <c r="P313" i="4"/>
  <c r="Q313" i="4" s="1"/>
  <c r="N315" i="4" l="1"/>
  <c r="J315" i="4"/>
  <c r="M314" i="4"/>
  <c r="G315" i="4"/>
  <c r="D315" i="4"/>
  <c r="E315" i="4" s="1"/>
  <c r="F315" i="4" s="1"/>
  <c r="O315" i="4" l="1"/>
  <c r="P314" i="4"/>
  <c r="Q314" i="4" s="1"/>
  <c r="H315" i="4"/>
  <c r="K315" i="4"/>
  <c r="L315" i="4" s="1"/>
  <c r="C316" i="4" s="1"/>
  <c r="N316" i="4" l="1"/>
  <c r="J316" i="4"/>
  <c r="M315" i="4"/>
  <c r="D316" i="4"/>
  <c r="E316" i="4" s="1"/>
  <c r="F316" i="4" s="1"/>
  <c r="G316" i="4"/>
  <c r="O316" i="4" l="1"/>
  <c r="P315" i="4"/>
  <c r="Q315" i="4" s="1"/>
  <c r="H316" i="4"/>
  <c r="K316" i="4"/>
  <c r="L316" i="4" s="1"/>
  <c r="M316" i="4" l="1"/>
  <c r="C317" i="4"/>
  <c r="N317" i="4" l="1"/>
  <c r="J317" i="4"/>
  <c r="P316" i="4"/>
  <c r="Q316" i="4" s="1"/>
  <c r="G317" i="4"/>
  <c r="D317" i="4"/>
  <c r="E317" i="4" s="1"/>
  <c r="F317" i="4" s="1"/>
  <c r="O317" i="4" l="1"/>
  <c r="H317" i="4"/>
  <c r="K317" i="4"/>
  <c r="L317" i="4" s="1"/>
  <c r="C318" i="4" s="1"/>
  <c r="J318" i="4" l="1"/>
  <c r="N318" i="4"/>
  <c r="M317" i="4"/>
  <c r="D318" i="4"/>
  <c r="E318" i="4" s="1"/>
  <c r="F318" i="4" s="1"/>
  <c r="G318" i="4"/>
  <c r="O318" i="4" l="1"/>
  <c r="H318" i="4"/>
  <c r="K318" i="4"/>
  <c r="L318" i="4" s="1"/>
  <c r="P317" i="4"/>
  <c r="Q317" i="4" s="1"/>
  <c r="M318" i="4" l="1"/>
  <c r="C319" i="4"/>
  <c r="N319" i="4" l="1"/>
  <c r="J319" i="4"/>
  <c r="P318" i="4"/>
  <c r="Q318" i="4" s="1"/>
  <c r="G319" i="4"/>
  <c r="D319" i="4"/>
  <c r="E319" i="4" s="1"/>
  <c r="F319" i="4" s="1"/>
  <c r="O319" i="4" l="1"/>
  <c r="H319" i="4"/>
  <c r="K319" i="4"/>
  <c r="L319" i="4" s="1"/>
  <c r="C320" i="4" s="1"/>
  <c r="N320" i="4" l="1"/>
  <c r="J320" i="4"/>
  <c r="M319" i="4"/>
  <c r="G320" i="4"/>
  <c r="D320" i="4"/>
  <c r="E320" i="4" s="1"/>
  <c r="F320" i="4" s="1"/>
  <c r="O320" i="4" l="1"/>
  <c r="P319" i="4"/>
  <c r="Q319" i="4" s="1"/>
  <c r="H320" i="4"/>
  <c r="K320" i="4"/>
  <c r="L320" i="4" s="1"/>
  <c r="C321" i="4" s="1"/>
  <c r="N321" i="4" l="1"/>
  <c r="J321" i="4"/>
  <c r="M320" i="4"/>
  <c r="D321" i="4"/>
  <c r="E321" i="4" s="1"/>
  <c r="F321" i="4" s="1"/>
  <c r="G321" i="4"/>
  <c r="O321" i="4" l="1"/>
  <c r="P320" i="4"/>
  <c r="Q320" i="4" s="1"/>
  <c r="H321" i="4"/>
  <c r="K321" i="4"/>
  <c r="L321" i="4" s="1"/>
  <c r="C322" i="4" s="1"/>
  <c r="N322" i="4" l="1"/>
  <c r="J322" i="4"/>
  <c r="M321" i="4"/>
  <c r="D322" i="4"/>
  <c r="E322" i="4" s="1"/>
  <c r="F322" i="4" s="1"/>
  <c r="G322" i="4"/>
  <c r="O322" i="4" l="1"/>
  <c r="P321" i="4"/>
  <c r="Q321" i="4" s="1"/>
  <c r="H322" i="4"/>
  <c r="K322" i="4"/>
  <c r="L322" i="4" s="1"/>
  <c r="C323" i="4" s="1"/>
  <c r="N323" i="4" l="1"/>
  <c r="J323" i="4"/>
  <c r="M322" i="4"/>
  <c r="G323" i="4"/>
  <c r="D323" i="4"/>
  <c r="E323" i="4" s="1"/>
  <c r="F323" i="4" s="1"/>
  <c r="O323" i="4" l="1"/>
  <c r="H323" i="4"/>
  <c r="P322" i="4"/>
  <c r="Q322" i="4" s="1"/>
  <c r="K323" i="4" l="1"/>
  <c r="L323" i="4" s="1"/>
  <c r="C324" i="4" s="1"/>
  <c r="N324" i="4" l="1"/>
  <c r="J324" i="4"/>
  <c r="M323" i="4"/>
  <c r="P323" i="4" s="1"/>
  <c r="Q323" i="4" s="1"/>
  <c r="D324" i="4"/>
  <c r="E324" i="4" s="1"/>
  <c r="F324" i="4" s="1"/>
  <c r="G324" i="4"/>
  <c r="O324" i="4" l="1"/>
  <c r="H324" i="4"/>
  <c r="K324" i="4"/>
  <c r="L324" i="4" s="1"/>
  <c r="C325" i="4" s="1"/>
  <c r="N325" i="4" l="1"/>
  <c r="J325" i="4"/>
  <c r="G325" i="4"/>
  <c r="D325" i="4"/>
  <c r="E325" i="4" s="1"/>
  <c r="F325" i="4" s="1"/>
  <c r="M324" i="4"/>
  <c r="O325" i="4" l="1"/>
  <c r="P324" i="4"/>
  <c r="Q324" i="4" s="1"/>
  <c r="H325" i="4"/>
  <c r="K325" i="4" l="1"/>
  <c r="L325" i="4" s="1"/>
  <c r="C326" i="4" s="1"/>
  <c r="J326" i="4" l="1"/>
  <c r="N326" i="4"/>
  <c r="M325" i="4"/>
  <c r="P325" i="4" s="1"/>
  <c r="Q325" i="4" s="1"/>
  <c r="G326" i="4"/>
  <c r="D326" i="4"/>
  <c r="E326" i="4" s="1"/>
  <c r="F326" i="4" s="1"/>
  <c r="O326" i="4" l="1"/>
  <c r="H326" i="4"/>
  <c r="K326" i="4"/>
  <c r="L326" i="4" s="1"/>
  <c r="C327" i="4" s="1"/>
  <c r="N327" i="4" l="1"/>
  <c r="J327" i="4"/>
  <c r="M326" i="4"/>
  <c r="G327" i="4"/>
  <c r="D327" i="4"/>
  <c r="E327" i="4" s="1"/>
  <c r="F327" i="4" s="1"/>
  <c r="O327" i="4" l="1"/>
  <c r="P326" i="4"/>
  <c r="Q326" i="4" s="1"/>
  <c r="H327" i="4"/>
  <c r="K327" i="4"/>
  <c r="L327" i="4" s="1"/>
  <c r="C328" i="4" s="1"/>
  <c r="N328" i="4" l="1"/>
  <c r="J328" i="4"/>
  <c r="G328" i="4"/>
  <c r="M327" i="4"/>
  <c r="D328" i="4"/>
  <c r="E328" i="4" s="1"/>
  <c r="F328" i="4" s="1"/>
  <c r="K328" i="4" l="1"/>
  <c r="L328" i="4" s="1"/>
  <c r="C329" i="4" s="1"/>
  <c r="N329" i="4" s="1"/>
  <c r="O328" i="4"/>
  <c r="P327" i="4"/>
  <c r="Q327" i="4" s="1"/>
  <c r="H328" i="4"/>
  <c r="M328" i="4" s="1"/>
  <c r="D329" i="4" l="1"/>
  <c r="E329" i="4" s="1"/>
  <c r="J329" i="4"/>
  <c r="G329" i="4"/>
  <c r="P328" i="4"/>
  <c r="Q328" i="4" s="1"/>
  <c r="H329" i="4"/>
  <c r="O329" i="4" l="1"/>
  <c r="F329" i="4"/>
  <c r="K329" i="4" s="1"/>
  <c r="L329" i="4" s="1"/>
  <c r="C330" i="4" s="1"/>
  <c r="M329" i="4" l="1"/>
  <c r="P329" i="4" s="1"/>
  <c r="Q329" i="4" s="1"/>
  <c r="N330" i="4"/>
  <c r="J330" i="4"/>
  <c r="D330" i="4"/>
  <c r="E330" i="4" s="1"/>
  <c r="F330" i="4" s="1"/>
  <c r="G330" i="4"/>
  <c r="O330" i="4" l="1"/>
  <c r="H330" i="4"/>
  <c r="K330" i="4"/>
  <c r="L330" i="4" s="1"/>
  <c r="M330" i="4" l="1"/>
  <c r="C331" i="4"/>
  <c r="N331" i="4" l="1"/>
  <c r="J331" i="4"/>
  <c r="D331" i="4"/>
  <c r="H331" i="4" s="1"/>
  <c r="P330" i="4"/>
  <c r="Q330" i="4" s="1"/>
  <c r="G331" i="4"/>
  <c r="E331" i="4" l="1"/>
  <c r="F331" i="4" s="1"/>
  <c r="K331" i="4" s="1"/>
  <c r="L331" i="4" s="1"/>
  <c r="C332" i="4" s="1"/>
  <c r="M331" i="4" l="1"/>
  <c r="O331" i="4"/>
  <c r="G332" i="4"/>
  <c r="D332" i="4"/>
  <c r="E332" i="4" s="1"/>
  <c r="F332" i="4" s="1"/>
  <c r="K332" i="4" s="1"/>
  <c r="L332" i="4" s="1"/>
  <c r="N332" i="4"/>
  <c r="J332" i="4"/>
  <c r="P331" i="4" l="1"/>
  <c r="Q331" i="4" s="1"/>
  <c r="H332" i="4"/>
  <c r="M332" i="4" s="1"/>
  <c r="O332" i="4"/>
  <c r="C333" i="4"/>
  <c r="N333" i="4" l="1"/>
  <c r="J333" i="4"/>
  <c r="P332" i="4"/>
  <c r="Q332" i="4" s="1"/>
  <c r="G333" i="4"/>
  <c r="D333" i="4"/>
  <c r="E333" i="4" s="1"/>
  <c r="F333" i="4" s="1"/>
  <c r="O333" i="4" l="1"/>
  <c r="H333" i="4"/>
  <c r="K333" i="4"/>
  <c r="L333" i="4" s="1"/>
  <c r="M333" i="4" l="1"/>
  <c r="C334" i="4"/>
  <c r="J334" i="4" l="1"/>
  <c r="N334" i="4"/>
  <c r="P333" i="4"/>
  <c r="Q333" i="4" s="1"/>
  <c r="G334" i="4"/>
  <c r="D334" i="4"/>
  <c r="E334" i="4" s="1"/>
  <c r="F334" i="4" s="1"/>
  <c r="O334" i="4" l="1"/>
  <c r="H334" i="4"/>
  <c r="K334" i="4"/>
  <c r="L334" i="4" s="1"/>
  <c r="M334" i="4" l="1"/>
  <c r="C335" i="4"/>
  <c r="N335" i="4" l="1"/>
  <c r="J335" i="4"/>
  <c r="P334" i="4"/>
  <c r="Q334" i="4" s="1"/>
  <c r="G335" i="4"/>
  <c r="D335" i="4"/>
  <c r="E335" i="4" s="1"/>
  <c r="F335" i="4" s="1"/>
  <c r="O335" i="4" l="1"/>
  <c r="H335" i="4"/>
  <c r="K335" i="4"/>
  <c r="L335" i="4" s="1"/>
  <c r="C336" i="4" s="1"/>
  <c r="N336" i="4" l="1"/>
  <c r="J336" i="4"/>
  <c r="M335" i="4"/>
  <c r="D336" i="4"/>
  <c r="E336" i="4" s="1"/>
  <c r="F336" i="4" s="1"/>
  <c r="G336" i="4"/>
  <c r="O336" i="4" l="1"/>
  <c r="P335" i="4"/>
  <c r="Q335" i="4" s="1"/>
  <c r="H336" i="4"/>
  <c r="K336" i="4"/>
  <c r="L336" i="4" s="1"/>
  <c r="C337" i="4" s="1"/>
  <c r="N337" i="4" l="1"/>
  <c r="J337" i="4"/>
  <c r="M336" i="4"/>
  <c r="D337" i="4"/>
  <c r="E337" i="4" s="1"/>
  <c r="F337" i="4" s="1"/>
  <c r="G337" i="4"/>
  <c r="O337" i="4" l="1"/>
  <c r="P336" i="4"/>
  <c r="Q336" i="4" s="1"/>
  <c r="H337" i="4"/>
  <c r="K337" i="4"/>
  <c r="L337" i="4" s="1"/>
  <c r="C338" i="4" s="1"/>
  <c r="N338" i="4" l="1"/>
  <c r="J338" i="4"/>
  <c r="M337" i="4"/>
  <c r="G338" i="4"/>
  <c r="D338" i="4"/>
  <c r="E338" i="4" s="1"/>
  <c r="F338" i="4" s="1"/>
  <c r="O338" i="4" l="1"/>
  <c r="P337" i="4"/>
  <c r="Q337" i="4" s="1"/>
  <c r="H338" i="4"/>
  <c r="K338" i="4"/>
  <c r="L338" i="4" s="1"/>
  <c r="C339" i="4" s="1"/>
  <c r="N339" i="4" l="1"/>
  <c r="J339" i="4"/>
  <c r="M338" i="4"/>
  <c r="D339" i="4"/>
  <c r="E339" i="4" s="1"/>
  <c r="F339" i="4" s="1"/>
  <c r="G339" i="4"/>
  <c r="O339" i="4" l="1"/>
  <c r="H339" i="4"/>
  <c r="K339" i="4"/>
  <c r="L339" i="4" s="1"/>
  <c r="C340" i="4" s="1"/>
  <c r="P338" i="4"/>
  <c r="Q338" i="4" s="1"/>
  <c r="N340" i="4" l="1"/>
  <c r="J340" i="4"/>
  <c r="M339" i="4"/>
  <c r="D340" i="4"/>
  <c r="E340" i="4" s="1"/>
  <c r="F340" i="4" s="1"/>
  <c r="G340" i="4"/>
  <c r="O340" i="4" l="1"/>
  <c r="P339" i="4"/>
  <c r="Q339" i="4" s="1"/>
  <c r="H340" i="4"/>
  <c r="K340" i="4"/>
  <c r="L340" i="4" s="1"/>
  <c r="C341" i="4" s="1"/>
  <c r="N341" i="4" l="1"/>
  <c r="J341" i="4"/>
  <c r="M340" i="4"/>
  <c r="G341" i="4"/>
  <c r="D341" i="4"/>
  <c r="E341" i="4" s="1"/>
  <c r="F341" i="4" s="1"/>
  <c r="O341" i="4" l="1"/>
  <c r="P340" i="4"/>
  <c r="Q340" i="4" s="1"/>
  <c r="H341" i="4"/>
  <c r="K341" i="4"/>
  <c r="L341" i="4" s="1"/>
  <c r="C342" i="4" s="1"/>
  <c r="J342" i="4" l="1"/>
  <c r="N342" i="4"/>
  <c r="M341" i="4"/>
  <c r="D342" i="4"/>
  <c r="E342" i="4" s="1"/>
  <c r="F342" i="4" s="1"/>
  <c r="G342" i="4"/>
  <c r="O342" i="4" l="1"/>
  <c r="P341" i="4"/>
  <c r="Q341" i="4" s="1"/>
  <c r="H342" i="4"/>
  <c r="K342" i="4"/>
  <c r="L342" i="4" s="1"/>
  <c r="M342" i="4" l="1"/>
  <c r="C343" i="4"/>
  <c r="N343" i="4" l="1"/>
  <c r="J343" i="4"/>
  <c r="P342" i="4"/>
  <c r="Q342" i="4" s="1"/>
  <c r="G343" i="4"/>
  <c r="D343" i="4"/>
  <c r="E343" i="4" s="1"/>
  <c r="F343" i="4" s="1"/>
  <c r="O343" i="4" l="1"/>
  <c r="H343" i="4"/>
  <c r="K343" i="4"/>
  <c r="L343" i="4" s="1"/>
  <c r="M343" i="4" l="1"/>
  <c r="C344" i="4"/>
  <c r="N344" i="4" l="1"/>
  <c r="J344" i="4"/>
  <c r="P343" i="4"/>
  <c r="Q343" i="4" s="1"/>
  <c r="G344" i="4"/>
  <c r="D344" i="4"/>
  <c r="E344" i="4" s="1"/>
  <c r="F344" i="4" s="1"/>
  <c r="O344" i="4" l="1"/>
  <c r="H344" i="4"/>
  <c r="K344" i="4"/>
  <c r="L344" i="4" s="1"/>
  <c r="C345" i="4" s="1"/>
  <c r="N345" i="4" l="1"/>
  <c r="J345" i="4"/>
  <c r="M344" i="4"/>
  <c r="D345" i="4"/>
  <c r="E345" i="4" s="1"/>
  <c r="F345" i="4" s="1"/>
  <c r="G345" i="4"/>
  <c r="O345" i="4" l="1"/>
  <c r="P344" i="4"/>
  <c r="Q344" i="4" s="1"/>
  <c r="H345" i="4"/>
  <c r="K345" i="4"/>
  <c r="L345" i="4" s="1"/>
  <c r="M345" i="4" l="1"/>
  <c r="C346" i="4"/>
  <c r="N346" i="4" l="1"/>
  <c r="J346" i="4"/>
  <c r="P345" i="4"/>
  <c r="Q345" i="4" s="1"/>
  <c r="D346" i="4"/>
  <c r="E346" i="4" s="1"/>
  <c r="F346" i="4" s="1"/>
  <c r="G346" i="4"/>
  <c r="O346" i="4" l="1"/>
  <c r="H346" i="4"/>
  <c r="K346" i="4"/>
  <c r="L346" i="4" s="1"/>
  <c r="C347" i="4" s="1"/>
  <c r="N347" i="4" l="1"/>
  <c r="J347" i="4"/>
  <c r="M346" i="4"/>
  <c r="D347" i="4"/>
  <c r="E347" i="4" s="1"/>
  <c r="F347" i="4" s="1"/>
  <c r="G347" i="4"/>
  <c r="O347" i="4" l="1"/>
  <c r="P346" i="4"/>
  <c r="Q346" i="4" s="1"/>
  <c r="H347" i="4"/>
  <c r="K347" i="4"/>
  <c r="L347" i="4" s="1"/>
  <c r="M347" i="4" l="1"/>
  <c r="C348" i="4"/>
  <c r="N348" i="4" l="1"/>
  <c r="J348" i="4"/>
  <c r="P347" i="4"/>
  <c r="Q347" i="4" s="1"/>
  <c r="D348" i="4"/>
  <c r="E348" i="4" s="1"/>
  <c r="F348" i="4" s="1"/>
  <c r="G348" i="4"/>
  <c r="O348" i="4" l="1"/>
  <c r="H348" i="4"/>
  <c r="K348" i="4"/>
  <c r="L348" i="4" s="1"/>
  <c r="C349" i="4" s="1"/>
  <c r="N349" i="4" l="1"/>
  <c r="J349" i="4"/>
  <c r="M348" i="4"/>
  <c r="G349" i="4"/>
  <c r="D349" i="4"/>
  <c r="E349" i="4" s="1"/>
  <c r="F349" i="4" s="1"/>
  <c r="O349" i="4" l="1"/>
  <c r="P348" i="4"/>
  <c r="Q348" i="4" s="1"/>
  <c r="H349" i="4"/>
  <c r="K349" i="4"/>
  <c r="L349" i="4" s="1"/>
  <c r="M349" i="4" l="1"/>
  <c r="C350" i="4"/>
  <c r="J350" i="4" l="1"/>
  <c r="N350" i="4"/>
  <c r="P349" i="4"/>
  <c r="Q349" i="4" s="1"/>
  <c r="G350" i="4"/>
  <c r="D350" i="4"/>
  <c r="E350" i="4" s="1"/>
  <c r="F350" i="4" s="1"/>
  <c r="O350" i="4" l="1"/>
  <c r="H350" i="4"/>
  <c r="K350" i="4"/>
  <c r="L350" i="4" s="1"/>
  <c r="M350" i="4" l="1"/>
  <c r="C351" i="4"/>
  <c r="N351" i="4" l="1"/>
  <c r="J351" i="4"/>
  <c r="P350" i="4"/>
  <c r="Q350" i="4" s="1"/>
  <c r="G351" i="4"/>
  <c r="D351" i="4"/>
  <c r="E351" i="4" s="1"/>
  <c r="F351" i="4" s="1"/>
  <c r="O351" i="4" l="1"/>
  <c r="H351" i="4"/>
  <c r="K351" i="4"/>
  <c r="L351" i="4" s="1"/>
  <c r="M351" i="4" l="1"/>
  <c r="C352" i="4"/>
  <c r="N352" i="4" l="1"/>
  <c r="J352" i="4"/>
  <c r="P351" i="4"/>
  <c r="Q351" i="4" s="1"/>
  <c r="D352" i="4"/>
  <c r="E352" i="4" s="1"/>
  <c r="F352" i="4" s="1"/>
  <c r="G352" i="4"/>
  <c r="O352" i="4" l="1"/>
  <c r="H352" i="4"/>
  <c r="K352" i="4"/>
  <c r="L352" i="4" s="1"/>
  <c r="M352" i="4" l="1"/>
  <c r="C353" i="4"/>
  <c r="N353" i="4" l="1"/>
  <c r="J353" i="4"/>
  <c r="P352" i="4"/>
  <c r="Q352" i="4" s="1"/>
  <c r="G353" i="4"/>
  <c r="D353" i="4"/>
  <c r="E353" i="4" s="1"/>
  <c r="F353" i="4" s="1"/>
  <c r="O353" i="4" l="1"/>
  <c r="H353" i="4"/>
  <c r="K353" i="4"/>
  <c r="L353" i="4" s="1"/>
  <c r="C354" i="4" s="1"/>
  <c r="N354" i="4" l="1"/>
  <c r="J354" i="4"/>
  <c r="M353" i="4"/>
  <c r="D354" i="4"/>
  <c r="E354" i="4" s="1"/>
  <c r="F354" i="4" s="1"/>
  <c r="G354" i="4"/>
  <c r="O354" i="4" l="1"/>
  <c r="P353" i="4"/>
  <c r="Q353" i="4" s="1"/>
  <c r="H354" i="4"/>
  <c r="K354" i="4"/>
  <c r="L354" i="4" s="1"/>
  <c r="C355" i="4" s="1"/>
  <c r="N355" i="4" l="1"/>
  <c r="J355" i="4"/>
  <c r="M354" i="4"/>
  <c r="G355" i="4"/>
  <c r="D355" i="4"/>
  <c r="E355" i="4" s="1"/>
  <c r="F355" i="4" s="1"/>
  <c r="O355" i="4" l="1"/>
  <c r="P354" i="4"/>
  <c r="Q354" i="4" s="1"/>
  <c r="H355" i="4"/>
  <c r="K355" i="4"/>
  <c r="L355" i="4" s="1"/>
  <c r="C356" i="4" s="1"/>
  <c r="N356" i="4" l="1"/>
  <c r="J356" i="4"/>
  <c r="M355" i="4"/>
  <c r="D356" i="4"/>
  <c r="E356" i="4" s="1"/>
  <c r="F356" i="4" s="1"/>
  <c r="G356" i="4"/>
  <c r="O356" i="4" l="1"/>
  <c r="P355" i="4"/>
  <c r="Q355" i="4" s="1"/>
  <c r="H356" i="4"/>
  <c r="K356" i="4"/>
  <c r="L356" i="4" s="1"/>
  <c r="C357" i="4" s="1"/>
  <c r="N357" i="4" l="1"/>
  <c r="J357" i="4"/>
  <c r="M356" i="4"/>
  <c r="G357" i="4"/>
  <c r="D357" i="4"/>
  <c r="E357" i="4" s="1"/>
  <c r="F357" i="4" s="1"/>
  <c r="O357" i="4" l="1"/>
  <c r="P356" i="4"/>
  <c r="Q356" i="4" s="1"/>
  <c r="H357" i="4"/>
  <c r="K357" i="4"/>
  <c r="L357" i="4" s="1"/>
  <c r="C358" i="4" s="1"/>
  <c r="N358" i="4" l="1"/>
  <c r="J358" i="4"/>
  <c r="M357" i="4"/>
  <c r="G358" i="4"/>
  <c r="D358" i="4"/>
  <c r="E358" i="4" s="1"/>
  <c r="F358" i="4" s="1"/>
  <c r="O358" i="4" l="1"/>
  <c r="P357" i="4"/>
  <c r="Q357" i="4" s="1"/>
  <c r="H358" i="4"/>
  <c r="K358" i="4"/>
  <c r="L358" i="4" s="1"/>
  <c r="M358" i="4" l="1"/>
  <c r="C359" i="4"/>
  <c r="N359" i="4" l="1"/>
  <c r="J359" i="4"/>
  <c r="P358" i="4"/>
  <c r="Q358" i="4" s="1"/>
  <c r="G359" i="4"/>
  <c r="D359" i="4"/>
  <c r="E359" i="4" s="1"/>
  <c r="F359" i="4" s="1"/>
  <c r="O359" i="4" l="1"/>
  <c r="H359" i="4"/>
  <c r="K359" i="4" l="1"/>
  <c r="L359" i="4" s="1"/>
  <c r="C360" i="4" s="1"/>
  <c r="M359" i="4"/>
  <c r="P359" i="4" s="1"/>
  <c r="Q359" i="4" s="1"/>
  <c r="N360" i="4" l="1"/>
  <c r="J360" i="4"/>
  <c r="G360" i="4"/>
  <c r="D360" i="4"/>
  <c r="E360" i="4" s="1"/>
  <c r="F360" i="4" s="1"/>
  <c r="O360" i="4" l="1"/>
  <c r="H360" i="4"/>
  <c r="K360" i="4"/>
  <c r="L360" i="4" s="1"/>
  <c r="C361" i="4" s="1"/>
  <c r="N361" i="4" l="1"/>
  <c r="J361" i="4"/>
  <c r="M360" i="4"/>
  <c r="D361" i="4"/>
  <c r="E361" i="4" s="1"/>
  <c r="F361" i="4" s="1"/>
  <c r="G361" i="4"/>
  <c r="O361" i="4" l="1"/>
  <c r="P360" i="4"/>
  <c r="Q360" i="4" s="1"/>
  <c r="H361" i="4"/>
  <c r="K361" i="4"/>
  <c r="L361" i="4" s="1"/>
  <c r="C362" i="4" s="1"/>
  <c r="N362" i="4" l="1"/>
  <c r="J362" i="4"/>
  <c r="D362" i="4"/>
  <c r="E362" i="4" s="1"/>
  <c r="F362" i="4" s="1"/>
  <c r="K362" i="4" s="1"/>
  <c r="L362" i="4" s="1"/>
  <c r="C363" i="4" s="1"/>
  <c r="G362" i="4"/>
  <c r="M361" i="4"/>
  <c r="P361" i="4" s="1"/>
  <c r="Q361" i="4" s="1"/>
  <c r="H362" i="4" l="1"/>
  <c r="M362" i="4" s="1"/>
  <c r="O362" i="4"/>
  <c r="N363" i="4"/>
  <c r="J363" i="4"/>
  <c r="G363" i="4"/>
  <c r="D363" i="4"/>
  <c r="E363" i="4" s="1"/>
  <c r="F363" i="4" s="1"/>
  <c r="O363" i="4" l="1"/>
  <c r="P362" i="4"/>
  <c r="Q362" i="4" s="1"/>
  <c r="H363" i="4"/>
  <c r="K363" i="4"/>
  <c r="L363" i="4" s="1"/>
  <c r="C364" i="4" s="1"/>
  <c r="N364" i="4" l="1"/>
  <c r="J364" i="4"/>
  <c r="M363" i="4"/>
  <c r="D364" i="4"/>
  <c r="E364" i="4" s="1"/>
  <c r="F364" i="4" s="1"/>
  <c r="G364" i="4"/>
  <c r="O364" i="4" l="1"/>
  <c r="P363" i="4"/>
  <c r="Q363" i="4" s="1"/>
  <c r="H364" i="4"/>
  <c r="K364" i="4"/>
  <c r="L364" i="4" s="1"/>
  <c r="C365" i="4" s="1"/>
  <c r="N365" i="4" l="1"/>
  <c r="J365" i="4"/>
  <c r="M364" i="4"/>
  <c r="D365" i="4"/>
  <c r="E365" i="4" s="1"/>
  <c r="F365" i="4" s="1"/>
  <c r="G365" i="4"/>
  <c r="O365" i="4" l="1"/>
  <c r="P364" i="4"/>
  <c r="Q364" i="4" s="1"/>
  <c r="H365" i="4"/>
  <c r="K365" i="4"/>
  <c r="L365" i="4" s="1"/>
  <c r="C366" i="4" s="1"/>
  <c r="J366" i="4" l="1"/>
  <c r="N366" i="4"/>
  <c r="M365" i="4"/>
  <c r="D366" i="4"/>
  <c r="E366" i="4" s="1"/>
  <c r="F366" i="4" s="1"/>
  <c r="G366" i="4"/>
  <c r="O366" i="4" l="1"/>
  <c r="P365" i="4"/>
  <c r="Q365" i="4" s="1"/>
  <c r="H366" i="4"/>
  <c r="K366" i="4"/>
  <c r="L366" i="4" s="1"/>
  <c r="C367" i="4" s="1"/>
  <c r="N367" i="4" l="1"/>
  <c r="J367" i="4"/>
  <c r="M366" i="4"/>
  <c r="G367" i="4"/>
  <c r="D367" i="4"/>
  <c r="E367" i="4" s="1"/>
  <c r="F367" i="4" s="1"/>
  <c r="O367" i="4" l="1"/>
  <c r="H367" i="4"/>
  <c r="K367" i="4"/>
  <c r="L367" i="4" s="1"/>
  <c r="P366" i="4"/>
  <c r="Q366" i="4" s="1"/>
  <c r="M367" i="4" l="1"/>
  <c r="C368" i="4"/>
  <c r="N368" i="4" l="1"/>
  <c r="J368" i="4"/>
  <c r="P367" i="4"/>
  <c r="Q367" i="4" s="1"/>
  <c r="D368" i="4"/>
  <c r="E368" i="4" s="1"/>
  <c r="F368" i="4" s="1"/>
  <c r="G368" i="4"/>
  <c r="O368" i="4" l="1"/>
  <c r="H368" i="4"/>
  <c r="K368" i="4"/>
  <c r="L368" i="4" s="1"/>
  <c r="C369" i="4" s="1"/>
  <c r="N369" i="4" l="1"/>
  <c r="J369" i="4"/>
  <c r="E369" i="4"/>
  <c r="F369" i="4"/>
  <c r="M368" i="4"/>
  <c r="G369" i="4"/>
  <c r="D369" i="4"/>
  <c r="O369" i="4" l="1"/>
  <c r="P368" i="4"/>
  <c r="Q368" i="4" s="1"/>
  <c r="H369" i="4"/>
  <c r="K369" i="4"/>
  <c r="L369" i="4" s="1"/>
  <c r="C370" i="4" s="1"/>
  <c r="N370" i="4" l="1"/>
  <c r="J370" i="4"/>
  <c r="E370" i="4"/>
  <c r="F370" i="4"/>
  <c r="M369" i="4"/>
  <c r="G370" i="4"/>
  <c r="D370" i="4"/>
  <c r="O370" i="4" l="1"/>
  <c r="P369" i="4"/>
  <c r="Q369" i="4" s="1"/>
  <c r="H370" i="4"/>
  <c r="K370" i="4" l="1"/>
  <c r="L370" i="4" s="1"/>
  <c r="C371" i="4" s="1"/>
  <c r="F371" i="4" l="1"/>
  <c r="N371" i="4"/>
  <c r="J371" i="4"/>
  <c r="M370" i="4"/>
  <c r="P370" i="4" s="1"/>
  <c r="Q370" i="4" s="1"/>
  <c r="G371" i="4"/>
  <c r="E371" i="4"/>
  <c r="D371" i="4"/>
  <c r="O371" i="4" l="1"/>
  <c r="H371" i="4"/>
  <c r="K371" i="4" l="1"/>
  <c r="L371" i="4" s="1"/>
  <c r="C372" i="4" s="1"/>
  <c r="N372" i="4" l="1"/>
  <c r="Q3" i="4" s="1"/>
  <c r="J372" i="4"/>
  <c r="Q5" i="4" s="1"/>
  <c r="E372" i="4"/>
  <c r="F372" i="4"/>
  <c r="M371" i="4"/>
  <c r="P371" i="4" s="1"/>
  <c r="Q371" i="4" s="1"/>
  <c r="D372" i="4"/>
  <c r="G372" i="4"/>
  <c r="O372" i="4" l="1"/>
  <c r="H372" i="4"/>
  <c r="K372" i="4" l="1"/>
  <c r="L372" i="4" s="1"/>
  <c r="C373" i="4" s="1"/>
  <c r="E373" i="4" l="1"/>
  <c r="F373" i="4"/>
  <c r="M372" i="4"/>
  <c r="P372" i="4" s="1"/>
  <c r="Q372" i="4" s="1"/>
  <c r="D373" i="4"/>
  <c r="K373" i="4" s="1"/>
  <c r="G373" i="4"/>
  <c r="L373" i="4" l="1"/>
  <c r="C374" i="4" s="1"/>
  <c r="F374" i="4" s="1"/>
  <c r="H373" i="4"/>
  <c r="M373" i="4" s="1"/>
  <c r="G374" i="4" l="1"/>
  <c r="E374" i="4"/>
  <c r="H374" i="4"/>
  <c r="D374" i="4"/>
  <c r="L374" i="4"/>
  <c r="C375" i="4" s="1"/>
  <c r="F375" i="4" s="1"/>
  <c r="K374" i="4"/>
  <c r="M374" i="4" l="1"/>
  <c r="L375" i="4"/>
  <c r="C376" i="4" s="1"/>
  <c r="E375" i="4"/>
  <c r="D375" i="4"/>
  <c r="G375" i="4"/>
  <c r="K375" i="4"/>
  <c r="H375" i="4"/>
  <c r="E376" i="4" l="1"/>
  <c r="F376" i="4"/>
  <c r="K376" i="4"/>
  <c r="L376" i="4"/>
  <c r="C377" i="4" s="1"/>
  <c r="D376" i="4"/>
  <c r="G376" i="4"/>
  <c r="H376" i="4"/>
  <c r="M375" i="4"/>
  <c r="M376" i="4" l="1"/>
  <c r="E377" i="4"/>
  <c r="F377" i="4"/>
  <c r="D377" i="4"/>
  <c r="L377" i="4"/>
  <c r="H377" i="4"/>
  <c r="G377" i="4"/>
  <c r="K377" i="4"/>
  <c r="M377" i="4" l="1"/>
  <c r="C378" i="4"/>
  <c r="E378" i="4" l="1"/>
  <c r="F378" i="4"/>
  <c r="G378" i="4"/>
  <c r="H378" i="4"/>
  <c r="L378" i="4"/>
  <c r="K378" i="4"/>
  <c r="D378" i="4"/>
  <c r="M378" i="4" l="1"/>
  <c r="C379" i="4"/>
  <c r="E379" i="4" l="1"/>
  <c r="F379" i="4"/>
  <c r="L379" i="4"/>
  <c r="H379" i="4"/>
  <c r="G379" i="4"/>
  <c r="D379" i="4"/>
  <c r="K379" i="4"/>
  <c r="M379" i="4" l="1"/>
  <c r="C380" i="4"/>
  <c r="E380" i="4" l="1"/>
  <c r="F380" i="4"/>
  <c r="D380" i="4"/>
  <c r="L380" i="4"/>
  <c r="H380" i="4"/>
  <c r="K380" i="4"/>
  <c r="G380" i="4"/>
  <c r="M380" i="4" l="1"/>
  <c r="C381" i="4"/>
  <c r="E381" i="4" l="1"/>
  <c r="F381" i="4"/>
  <c r="H381" i="4"/>
  <c r="L381" i="4"/>
  <c r="K381" i="4"/>
  <c r="D381" i="4"/>
  <c r="G381" i="4"/>
  <c r="C382" i="4" l="1"/>
  <c r="M381" i="4"/>
  <c r="E382" i="4" l="1"/>
  <c r="F382" i="4"/>
  <c r="L382" i="4"/>
  <c r="H382" i="4"/>
  <c r="K382" i="4"/>
  <c r="G382" i="4"/>
  <c r="D382" i="4"/>
  <c r="M382" i="4" l="1"/>
  <c r="C383" i="4"/>
  <c r="E383" i="4" l="1"/>
  <c r="F383" i="4"/>
  <c r="G383" i="4"/>
  <c r="H383" i="4"/>
  <c r="L383" i="4"/>
  <c r="K383" i="4"/>
  <c r="D383" i="4"/>
  <c r="M383" i="4" l="1"/>
  <c r="C384" i="4"/>
  <c r="E384" i="4" l="1"/>
  <c r="F384" i="4"/>
  <c r="D384" i="4"/>
  <c r="G384" i="4"/>
  <c r="H384" i="4"/>
  <c r="L384" i="4"/>
  <c r="K384" i="4"/>
  <c r="M384" i="4" l="1"/>
  <c r="C385" i="4"/>
  <c r="E385" i="4" l="1"/>
  <c r="F385" i="4"/>
  <c r="G385" i="4"/>
  <c r="K385" i="4"/>
  <c r="L385" i="4"/>
  <c r="D385" i="4"/>
  <c r="H385" i="4"/>
  <c r="M385" i="4" l="1"/>
  <c r="C386" i="4"/>
  <c r="E386" i="4" l="1"/>
  <c r="F386" i="4"/>
  <c r="L386" i="4"/>
  <c r="H386" i="4"/>
  <c r="G386" i="4"/>
  <c r="K386" i="4"/>
  <c r="D386" i="4"/>
  <c r="M386" i="4" l="1"/>
  <c r="C387" i="4"/>
  <c r="E387" i="4" l="1"/>
  <c r="F387" i="4"/>
  <c r="K387" i="4"/>
  <c r="H387" i="4"/>
  <c r="L387" i="4"/>
  <c r="D387" i="4"/>
  <c r="G387" i="4"/>
  <c r="C388" i="4" l="1"/>
  <c r="M387" i="4"/>
  <c r="E388" i="4" l="1"/>
  <c r="F388" i="4"/>
  <c r="D388" i="4"/>
  <c r="L388" i="4"/>
  <c r="K388" i="4"/>
  <c r="G388" i="4"/>
  <c r="H388" i="4"/>
  <c r="M388" i="4" l="1"/>
  <c r="C389" i="4"/>
  <c r="E389" i="4" l="1"/>
  <c r="F389" i="4"/>
  <c r="G389" i="4"/>
  <c r="D389" i="4"/>
  <c r="H389" i="4"/>
  <c r="L389" i="4"/>
  <c r="K389" i="4"/>
  <c r="M389" i="4" l="1"/>
  <c r="C390" i="4"/>
  <c r="E390" i="4" l="1"/>
  <c r="F390" i="4"/>
  <c r="G390" i="4"/>
  <c r="L390" i="4"/>
  <c r="K390" i="4"/>
  <c r="D390" i="4"/>
  <c r="H390" i="4"/>
  <c r="M390" i="4" l="1"/>
  <c r="C391" i="4"/>
  <c r="E391" i="4" l="1"/>
  <c r="F391" i="4"/>
  <c r="D391" i="4"/>
  <c r="G391" i="4"/>
  <c r="K391" i="4"/>
  <c r="L391" i="4"/>
  <c r="H391" i="4"/>
  <c r="M391" i="4" l="1"/>
  <c r="C392" i="4"/>
  <c r="E392" i="4" l="1"/>
  <c r="F392" i="4"/>
  <c r="H392" i="4"/>
  <c r="L392" i="4"/>
  <c r="G392" i="4"/>
  <c r="K392" i="4"/>
  <c r="D392" i="4"/>
  <c r="C393" i="4" l="1"/>
  <c r="M392" i="4"/>
  <c r="E393" i="4" l="1"/>
  <c r="F393" i="4"/>
  <c r="H393" i="4"/>
  <c r="D393" i="4"/>
  <c r="G393" i="4"/>
  <c r="K393" i="4"/>
  <c r="L393" i="4"/>
  <c r="C394" i="4" l="1"/>
  <c r="M393" i="4"/>
  <c r="E394" i="4" l="1"/>
  <c r="F394" i="4"/>
  <c r="D394" i="4"/>
  <c r="H394" i="4"/>
  <c r="G394" i="4"/>
  <c r="L394" i="4"/>
  <c r="K394" i="4"/>
  <c r="M394" i="4" l="1"/>
  <c r="C395" i="4"/>
  <c r="E395" i="4" l="1"/>
  <c r="F395" i="4"/>
  <c r="G395" i="4"/>
  <c r="D395" i="4"/>
  <c r="H395" i="4"/>
  <c r="L395" i="4"/>
  <c r="K395" i="4"/>
  <c r="M395" i="4" l="1"/>
  <c r="C396" i="4"/>
  <c r="E396" i="4" l="1"/>
  <c r="F396" i="4"/>
  <c r="K396" i="4"/>
  <c r="D396" i="4"/>
  <c r="G396" i="4"/>
  <c r="L396" i="4"/>
  <c r="H396" i="4"/>
  <c r="M396" i="4" l="1"/>
  <c r="C397" i="4"/>
  <c r="E397" i="4" l="1"/>
  <c r="F397" i="4"/>
  <c r="G397" i="4"/>
  <c r="D397" i="4"/>
  <c r="L397" i="4"/>
  <c r="K397" i="4"/>
  <c r="H397" i="4"/>
  <c r="M397" i="4" l="1"/>
  <c r="C398" i="4"/>
  <c r="E398" i="4" l="1"/>
  <c r="F398" i="4"/>
  <c r="G398" i="4"/>
  <c r="K398" i="4"/>
  <c r="L398" i="4"/>
  <c r="H398" i="4"/>
  <c r="D398" i="4"/>
  <c r="M398" i="4" l="1"/>
  <c r="C399" i="4"/>
  <c r="E399" i="4" l="1"/>
  <c r="F399" i="4"/>
  <c r="D399" i="4"/>
  <c r="K399" i="4"/>
  <c r="L399" i="4"/>
  <c r="H399" i="4"/>
  <c r="G399" i="4"/>
  <c r="M399" i="4" l="1"/>
  <c r="C400" i="4"/>
  <c r="E400" i="4" l="1"/>
  <c r="F400" i="4"/>
  <c r="L400" i="4"/>
  <c r="K400" i="4"/>
  <c r="G400" i="4"/>
  <c r="H400" i="4"/>
  <c r="D400" i="4"/>
  <c r="M400" i="4" l="1"/>
  <c r="C401" i="4"/>
  <c r="E401" i="4" l="1"/>
  <c r="F401" i="4"/>
  <c r="K401" i="4"/>
  <c r="D401" i="4"/>
  <c r="H401" i="4"/>
  <c r="L401" i="4"/>
  <c r="G401" i="4"/>
  <c r="C402" i="4" l="1"/>
  <c r="M401" i="4"/>
  <c r="E402" i="4" l="1"/>
  <c r="F402" i="4"/>
  <c r="L402" i="4"/>
  <c r="G402" i="4"/>
  <c r="D402" i="4"/>
  <c r="H402" i="4"/>
  <c r="K402" i="4"/>
  <c r="M402" i="4" l="1"/>
  <c r="C403" i="4"/>
  <c r="E403" i="4" l="1"/>
  <c r="F403" i="4"/>
  <c r="K403" i="4"/>
  <c r="G403" i="4"/>
  <c r="D403" i="4"/>
  <c r="H403" i="4"/>
  <c r="L403" i="4"/>
  <c r="M403" i="4" l="1"/>
  <c r="C404" i="4"/>
  <c r="E404" i="4" l="1"/>
  <c r="F404" i="4"/>
  <c r="H404" i="4"/>
  <c r="K404" i="4"/>
  <c r="D404" i="4"/>
  <c r="L404" i="4"/>
  <c r="G404" i="4"/>
  <c r="C405" i="4" l="1"/>
  <c r="M404" i="4"/>
  <c r="E405" i="4" l="1"/>
  <c r="F405" i="4"/>
  <c r="L405" i="4"/>
  <c r="D405" i="4"/>
  <c r="H405" i="4"/>
  <c r="K405" i="4"/>
  <c r="G405" i="4"/>
  <c r="M405" i="4" l="1"/>
  <c r="C406" i="4"/>
  <c r="E406" i="4" l="1"/>
  <c r="F406" i="4"/>
  <c r="K406" i="4"/>
  <c r="H406" i="4"/>
  <c r="G406" i="4"/>
  <c r="L406" i="4"/>
  <c r="D406" i="4"/>
  <c r="M406" i="4" l="1"/>
  <c r="C407" i="4"/>
  <c r="E407" i="4" l="1"/>
  <c r="F407" i="4"/>
  <c r="H407" i="4"/>
  <c r="L407" i="4"/>
  <c r="D407" i="4"/>
  <c r="K407" i="4"/>
  <c r="G407" i="4"/>
  <c r="C408" i="4" l="1"/>
  <c r="M407" i="4"/>
  <c r="E408" i="4" l="1"/>
  <c r="F408" i="4"/>
  <c r="H408" i="4"/>
  <c r="G408" i="4"/>
  <c r="D408" i="4"/>
  <c r="L408" i="4"/>
  <c r="K408" i="4"/>
  <c r="M408" i="4" l="1"/>
  <c r="C409" i="4"/>
  <c r="E409" i="4" l="1"/>
  <c r="F409" i="4"/>
  <c r="H409" i="4"/>
  <c r="L409" i="4"/>
  <c r="D409" i="4"/>
  <c r="K409" i="4"/>
  <c r="G409" i="4"/>
  <c r="C410" i="4" l="1"/>
  <c r="M409" i="4"/>
  <c r="E410" i="4" l="1"/>
  <c r="F410" i="4"/>
  <c r="L410" i="4"/>
  <c r="G410" i="4"/>
  <c r="K410" i="4"/>
  <c r="H410" i="4"/>
  <c r="D410" i="4"/>
  <c r="M410" i="4" l="1"/>
  <c r="C411" i="4"/>
  <c r="E411" i="4" l="1"/>
  <c r="F411" i="4"/>
  <c r="D411" i="4"/>
  <c r="H411" i="4"/>
  <c r="L411" i="4"/>
  <c r="K411" i="4"/>
  <c r="G411" i="4"/>
  <c r="C412" i="4" l="1"/>
  <c r="M411" i="4"/>
  <c r="E412" i="4" l="1"/>
  <c r="F412" i="4"/>
  <c r="D412" i="4"/>
  <c r="H412" i="4"/>
  <c r="L412" i="4"/>
  <c r="K412" i="4"/>
  <c r="G412" i="4"/>
  <c r="C413" i="4" l="1"/>
  <c r="M412" i="4"/>
  <c r="E413" i="4" l="1"/>
  <c r="F413" i="4"/>
  <c r="L413" i="4"/>
  <c r="G413" i="4"/>
  <c r="K413" i="4"/>
  <c r="H413" i="4"/>
  <c r="D413" i="4"/>
  <c r="M413" i="4" l="1"/>
  <c r="C414" i="4"/>
  <c r="E414" i="4" l="1"/>
  <c r="F414" i="4"/>
  <c r="H414" i="4"/>
  <c r="L414" i="4"/>
  <c r="K414" i="4"/>
  <c r="G414" i="4"/>
  <c r="D414" i="4"/>
  <c r="C415" i="4" l="1"/>
  <c r="M414" i="4"/>
  <c r="E415" i="4" l="1"/>
  <c r="F415" i="4"/>
  <c r="H415" i="4"/>
  <c r="L415" i="4"/>
  <c r="G415" i="4"/>
  <c r="K415" i="4"/>
  <c r="D415" i="4"/>
  <c r="C416" i="4" l="1"/>
  <c r="M415" i="4"/>
  <c r="E416" i="4" l="1"/>
  <c r="F416" i="4"/>
  <c r="K416" i="4"/>
  <c r="L416" i="4"/>
  <c r="G416" i="4"/>
  <c r="H416" i="4"/>
  <c r="D416" i="4"/>
  <c r="M416" i="4" l="1"/>
  <c r="C417" i="4"/>
  <c r="E417" i="4" l="1"/>
  <c r="F417" i="4"/>
  <c r="G417" i="4"/>
  <c r="L417" i="4"/>
  <c r="K417" i="4"/>
  <c r="D417" i="4"/>
  <c r="H417" i="4"/>
  <c r="M417" i="4" l="1"/>
  <c r="C418" i="4"/>
  <c r="E418" i="4" l="1"/>
  <c r="F418" i="4"/>
  <c r="K418" i="4"/>
  <c r="D418" i="4"/>
  <c r="L418" i="4"/>
  <c r="H418" i="4"/>
  <c r="G418" i="4"/>
  <c r="M418" i="4" l="1"/>
  <c r="C419" i="4"/>
  <c r="E419" i="4" l="1"/>
  <c r="F419" i="4"/>
  <c r="H419" i="4"/>
  <c r="L419" i="4"/>
  <c r="K419" i="4"/>
  <c r="D419" i="4"/>
  <c r="G419" i="4"/>
  <c r="C420" i="4" l="1"/>
  <c r="M419" i="4"/>
  <c r="E420" i="4" l="1"/>
  <c r="F420" i="4"/>
  <c r="H420" i="4"/>
  <c r="K420" i="4"/>
  <c r="L420" i="4"/>
  <c r="G420" i="4"/>
  <c r="D420" i="4"/>
  <c r="M420" i="4" l="1"/>
  <c r="C421" i="4"/>
  <c r="E421" i="4" l="1"/>
  <c r="F421" i="4"/>
  <c r="G421" i="4"/>
  <c r="H421" i="4"/>
  <c r="L421" i="4"/>
  <c r="K421" i="4"/>
  <c r="D421" i="4"/>
  <c r="M421" i="4" l="1"/>
  <c r="C422" i="4"/>
  <c r="E422" i="4" l="1"/>
  <c r="F422" i="4"/>
  <c r="K422" i="4"/>
  <c r="L422" i="4"/>
  <c r="G422" i="4"/>
  <c r="H422" i="4"/>
  <c r="D422" i="4"/>
  <c r="M422" i="4" l="1"/>
  <c r="C423" i="4"/>
  <c r="E423" i="4" l="1"/>
  <c r="F423" i="4"/>
  <c r="H423" i="4"/>
  <c r="L423" i="4"/>
  <c r="G423" i="4"/>
  <c r="D423" i="4"/>
  <c r="K423" i="4"/>
  <c r="C424" i="4" l="1"/>
  <c r="M423" i="4"/>
  <c r="E424" i="4" l="1"/>
  <c r="F424" i="4"/>
  <c r="K424" i="4"/>
  <c r="L424" i="4"/>
  <c r="D424" i="4"/>
  <c r="G424" i="4"/>
  <c r="H424" i="4"/>
  <c r="M424" i="4" l="1"/>
  <c r="C425" i="4"/>
  <c r="E425" i="4" l="1"/>
  <c r="F425" i="4"/>
  <c r="G425" i="4"/>
  <c r="L425" i="4"/>
  <c r="K425" i="4"/>
  <c r="H425" i="4"/>
  <c r="D425" i="4"/>
  <c r="M425" i="4" l="1"/>
  <c r="C426" i="4"/>
  <c r="E426" i="4" l="1"/>
  <c r="F426" i="4"/>
  <c r="L426" i="4"/>
  <c r="H426" i="4"/>
  <c r="D426" i="4"/>
  <c r="K426" i="4"/>
  <c r="G426" i="4"/>
  <c r="M426" i="4" l="1"/>
  <c r="C427" i="4"/>
  <c r="E427" i="4" l="1"/>
  <c r="F427" i="4"/>
  <c r="H427" i="4"/>
  <c r="K427" i="4"/>
  <c r="D427" i="4"/>
  <c r="G427" i="4"/>
  <c r="L427" i="4"/>
  <c r="C428" i="4" l="1"/>
  <c r="M427" i="4"/>
  <c r="E428" i="4" l="1"/>
  <c r="F428" i="4"/>
  <c r="K428" i="4"/>
  <c r="L428" i="4"/>
  <c r="D428" i="4"/>
  <c r="H428" i="4"/>
  <c r="G428" i="4"/>
  <c r="M428" i="4" l="1"/>
  <c r="C429" i="4"/>
  <c r="E429" i="4" l="1"/>
  <c r="F429" i="4"/>
  <c r="K429" i="4"/>
  <c r="G429" i="4"/>
  <c r="H429" i="4"/>
  <c r="D429" i="4"/>
  <c r="L429" i="4"/>
  <c r="M429" i="4" l="1"/>
  <c r="C430" i="4"/>
  <c r="E430" i="4" l="1"/>
  <c r="F430" i="4"/>
  <c r="H430" i="4"/>
  <c r="G430" i="4"/>
  <c r="D430" i="4"/>
  <c r="K430" i="4"/>
  <c r="L430" i="4"/>
  <c r="M430" i="4" l="1"/>
  <c r="C431" i="4"/>
  <c r="E431" i="4" l="1"/>
  <c r="F431" i="4"/>
  <c r="L431" i="4"/>
  <c r="G431" i="4"/>
  <c r="K431" i="4"/>
  <c r="D431" i="4"/>
  <c r="H431" i="4"/>
  <c r="M431" i="4" l="1"/>
  <c r="C432" i="4"/>
  <c r="E432" i="4" l="1"/>
  <c r="F432" i="4"/>
  <c r="L432" i="4"/>
  <c r="D432" i="4"/>
  <c r="K432" i="4"/>
  <c r="G432" i="4"/>
  <c r="H432" i="4"/>
  <c r="M432" i="4" l="1"/>
  <c r="C433" i="4"/>
  <c r="E433" i="4" l="1"/>
  <c r="F433" i="4"/>
  <c r="L433" i="4"/>
  <c r="G433" i="4"/>
  <c r="H433" i="4"/>
  <c r="D433" i="4"/>
  <c r="K433" i="4"/>
  <c r="M433" i="4" l="1"/>
  <c r="C434" i="4"/>
  <c r="E434" i="4" l="1"/>
  <c r="F434" i="4"/>
  <c r="G434" i="4"/>
  <c r="D434" i="4"/>
  <c r="K434" i="4"/>
  <c r="H434" i="4"/>
  <c r="L434" i="4"/>
  <c r="M434" i="4" l="1"/>
  <c r="C435" i="4"/>
  <c r="E435" i="4" l="1"/>
  <c r="F435" i="4"/>
  <c r="K435" i="4"/>
  <c r="G435" i="4"/>
  <c r="L435" i="4"/>
  <c r="D435" i="4"/>
  <c r="H435" i="4"/>
  <c r="M435" i="4" l="1"/>
  <c r="C436" i="4"/>
  <c r="E436" i="4" l="1"/>
  <c r="F436" i="4"/>
  <c r="D436" i="4"/>
  <c r="H436" i="4"/>
  <c r="K436" i="4"/>
  <c r="L436" i="4"/>
  <c r="G436" i="4"/>
  <c r="C437" i="4" l="1"/>
  <c r="M436" i="4"/>
  <c r="E437" i="4" l="1"/>
  <c r="F437" i="4"/>
  <c r="L437" i="4"/>
  <c r="H437" i="4"/>
  <c r="K437" i="4"/>
  <c r="G437" i="4"/>
  <c r="D437" i="4"/>
  <c r="M437" i="4" l="1"/>
  <c r="C438" i="4"/>
  <c r="E438" i="4" l="1"/>
  <c r="F438" i="4"/>
  <c r="K438" i="4"/>
  <c r="D438" i="4"/>
  <c r="H438" i="4"/>
  <c r="L438" i="4"/>
  <c r="G438" i="4"/>
  <c r="M438" i="4" l="1"/>
  <c r="C439" i="4"/>
  <c r="E439" i="4" l="1"/>
  <c r="F439" i="4"/>
  <c r="D439" i="4"/>
  <c r="H439" i="4"/>
  <c r="L439" i="4"/>
  <c r="G439" i="4"/>
  <c r="K439" i="4"/>
  <c r="M439" i="4" l="1"/>
  <c r="C440" i="4"/>
  <c r="E440" i="4" l="1"/>
  <c r="F440" i="4"/>
  <c r="D440" i="4"/>
  <c r="H440" i="4"/>
  <c r="K440" i="4"/>
  <c r="L440" i="4"/>
  <c r="G440" i="4"/>
  <c r="C441" i="4" l="1"/>
  <c r="M440" i="4"/>
  <c r="E441" i="4" l="1"/>
  <c r="F441" i="4"/>
  <c r="D441" i="4"/>
  <c r="L441" i="4"/>
  <c r="G441" i="4"/>
  <c r="K441" i="4"/>
  <c r="H441" i="4"/>
  <c r="M441" i="4" l="1"/>
  <c r="C442" i="4"/>
  <c r="E442" i="4" l="1"/>
  <c r="F442" i="4"/>
  <c r="D442" i="4"/>
  <c r="L442" i="4"/>
  <c r="G442" i="4"/>
  <c r="H442" i="4"/>
  <c r="K442" i="4"/>
  <c r="C443" i="4" l="1"/>
  <c r="M442" i="4"/>
  <c r="E443" i="4" l="1"/>
  <c r="F443" i="4"/>
  <c r="D443" i="4"/>
  <c r="K443" i="4"/>
  <c r="L443" i="4"/>
  <c r="H443" i="4"/>
  <c r="G443" i="4"/>
  <c r="C444" i="4" l="1"/>
  <c r="M443" i="4"/>
  <c r="E444" i="4" l="1"/>
  <c r="F444" i="4"/>
  <c r="L444" i="4"/>
  <c r="H444" i="4"/>
  <c r="K444" i="4"/>
  <c r="G444" i="4"/>
  <c r="D444" i="4"/>
  <c r="M444" i="4" l="1"/>
  <c r="C445" i="4"/>
  <c r="E445" i="4" l="1"/>
  <c r="F445" i="4"/>
  <c r="G445" i="4"/>
  <c r="L445" i="4"/>
  <c r="D445" i="4"/>
  <c r="H445" i="4"/>
  <c r="K445" i="4"/>
  <c r="M445" i="4" l="1"/>
  <c r="C446" i="4"/>
  <c r="E446" i="4" l="1"/>
  <c r="F446" i="4"/>
  <c r="K446" i="4"/>
  <c r="L446" i="4"/>
  <c r="H446" i="4"/>
  <c r="G446" i="4"/>
  <c r="D446" i="4"/>
  <c r="C447" i="4" l="1"/>
  <c r="M446" i="4"/>
  <c r="E447" i="4" l="1"/>
  <c r="F447" i="4"/>
  <c r="K447" i="4"/>
  <c r="H447" i="4"/>
  <c r="L447" i="4"/>
  <c r="G447" i="4"/>
  <c r="D447" i="4"/>
  <c r="M447" i="4" l="1"/>
  <c r="C448" i="4"/>
  <c r="E448" i="4" l="1"/>
  <c r="F448" i="4"/>
  <c r="L448" i="4"/>
  <c r="H448" i="4"/>
  <c r="D448" i="4"/>
  <c r="G448" i="4"/>
  <c r="K448" i="4"/>
  <c r="M448" i="4" l="1"/>
  <c r="C449" i="4"/>
  <c r="E449" i="4" l="1"/>
  <c r="F449" i="4"/>
  <c r="H449" i="4"/>
  <c r="D449" i="4"/>
  <c r="L449" i="4"/>
  <c r="K449" i="4"/>
  <c r="G449" i="4"/>
  <c r="C450" i="4" l="1"/>
  <c r="M449" i="4"/>
  <c r="E450" i="4" l="1"/>
  <c r="F450" i="4"/>
  <c r="H450" i="4"/>
  <c r="D450" i="4"/>
  <c r="L450" i="4"/>
  <c r="K450" i="4"/>
  <c r="G450" i="4"/>
  <c r="C451" i="4" l="1"/>
  <c r="M450" i="4"/>
  <c r="E451" i="4" l="1"/>
  <c r="F451" i="4"/>
  <c r="L451" i="4"/>
  <c r="G451" i="4"/>
  <c r="D451" i="4"/>
  <c r="H451" i="4"/>
  <c r="K451" i="4"/>
  <c r="M451" i="4" l="1"/>
  <c r="C452" i="4"/>
  <c r="E452" i="4" l="1"/>
  <c r="F452" i="4"/>
  <c r="K452" i="4"/>
  <c r="L452" i="4"/>
  <c r="D452" i="4"/>
  <c r="H452" i="4"/>
  <c r="G452" i="4"/>
  <c r="C453" i="4" l="1"/>
  <c r="M452" i="4"/>
  <c r="E453" i="4" l="1"/>
  <c r="F453" i="4"/>
  <c r="K453" i="4"/>
  <c r="D453" i="4"/>
  <c r="G453" i="4"/>
  <c r="H453" i="4"/>
  <c r="L453" i="4"/>
  <c r="M453" i="4" l="1"/>
  <c r="C454" i="4"/>
  <c r="E454" i="4" l="1"/>
  <c r="F454" i="4"/>
  <c r="K454" i="4"/>
  <c r="H454" i="4"/>
  <c r="L454" i="4"/>
  <c r="D454" i="4"/>
  <c r="G454" i="4"/>
  <c r="M454" i="4" l="1"/>
  <c r="C455" i="4"/>
  <c r="E455" i="4" l="1"/>
  <c r="F455" i="4"/>
  <c r="K455" i="4"/>
  <c r="H455" i="4"/>
  <c r="L455" i="4"/>
  <c r="D455" i="4"/>
  <c r="G455" i="4"/>
  <c r="M455" i="4" l="1"/>
  <c r="C456" i="4"/>
  <c r="E456" i="4" l="1"/>
  <c r="F456" i="4"/>
  <c r="G456" i="4"/>
  <c r="L456" i="4"/>
  <c r="K456" i="4"/>
  <c r="H456" i="4"/>
  <c r="D456" i="4"/>
  <c r="M456" i="4" l="1"/>
  <c r="C457" i="4"/>
  <c r="E457" i="4" l="1"/>
  <c r="F457" i="4"/>
  <c r="D457" i="4"/>
  <c r="L457" i="4"/>
  <c r="K457" i="4"/>
  <c r="G457" i="4"/>
  <c r="H457" i="4"/>
  <c r="M457" i="4" l="1"/>
  <c r="C458" i="4"/>
  <c r="E458" i="4" l="1"/>
  <c r="F458" i="4"/>
  <c r="G458" i="4"/>
  <c r="K458" i="4"/>
  <c r="H458" i="4"/>
  <c r="D458" i="4"/>
  <c r="L458" i="4"/>
  <c r="M458" i="4" l="1"/>
  <c r="C459" i="4"/>
  <c r="E459" i="4" l="1"/>
  <c r="F459" i="4"/>
  <c r="H459" i="4"/>
  <c r="D459" i="4"/>
  <c r="L459" i="4"/>
  <c r="G459" i="4"/>
  <c r="K459" i="4"/>
  <c r="C460" i="4" l="1"/>
  <c r="M459" i="4"/>
  <c r="E460" i="4" l="1"/>
  <c r="F460" i="4"/>
  <c r="G460" i="4"/>
  <c r="K460" i="4"/>
  <c r="L460" i="4"/>
  <c r="D460" i="4"/>
  <c r="H460" i="4"/>
  <c r="M460" i="4" l="1"/>
  <c r="C461" i="4"/>
  <c r="E461" i="4" l="1"/>
  <c r="F461" i="4"/>
  <c r="H461" i="4"/>
  <c r="G461" i="4"/>
  <c r="K461" i="4"/>
  <c r="D461" i="4"/>
  <c r="L461" i="4"/>
  <c r="C462" i="4" l="1"/>
  <c r="M461" i="4"/>
  <c r="E462" i="4" l="1"/>
  <c r="F462" i="4"/>
  <c r="G462" i="4"/>
  <c r="K462" i="4"/>
  <c r="D462" i="4"/>
  <c r="L462" i="4"/>
  <c r="H462" i="4"/>
  <c r="M462" i="4" l="1"/>
  <c r="C463" i="4"/>
  <c r="E463" i="4" l="1"/>
  <c r="F463" i="4"/>
  <c r="L463" i="4"/>
  <c r="K463" i="4"/>
  <c r="G463" i="4"/>
  <c r="H463" i="4"/>
  <c r="D463" i="4"/>
  <c r="M463" i="4" l="1"/>
  <c r="C464" i="4"/>
  <c r="E464" i="4" l="1"/>
  <c r="F464" i="4"/>
  <c r="L464" i="4"/>
  <c r="K464" i="4"/>
  <c r="H464" i="4"/>
  <c r="G464" i="4"/>
  <c r="D464" i="4"/>
  <c r="M464" i="4" l="1"/>
  <c r="C465" i="4"/>
  <c r="E465" i="4" l="1"/>
  <c r="F465" i="4"/>
  <c r="L465" i="4"/>
  <c r="H465" i="4"/>
  <c r="D465" i="4"/>
  <c r="K465" i="4"/>
  <c r="G465" i="4"/>
  <c r="M465" i="4" l="1"/>
  <c r="C466" i="4"/>
  <c r="E466" i="4" l="1"/>
  <c r="F466" i="4"/>
  <c r="K466" i="4"/>
  <c r="H466" i="4"/>
  <c r="G466" i="4"/>
  <c r="L466" i="4"/>
  <c r="D466" i="4"/>
  <c r="M466" i="4" l="1"/>
  <c r="C467" i="4"/>
  <c r="E467" i="4" l="1"/>
  <c r="F467" i="4"/>
  <c r="G467" i="4"/>
  <c r="D467" i="4"/>
  <c r="K467" i="4"/>
  <c r="H467" i="4"/>
  <c r="L467" i="4"/>
  <c r="M467" i="4" l="1"/>
  <c r="C468" i="4"/>
  <c r="E468" i="4" l="1"/>
  <c r="F468" i="4"/>
  <c r="L468" i="4"/>
  <c r="K468" i="4"/>
  <c r="H468" i="4"/>
  <c r="D468" i="4"/>
  <c r="G468" i="4"/>
  <c r="M468" i="4" l="1"/>
  <c r="C469" i="4"/>
  <c r="E469" i="4" l="1"/>
  <c r="F469" i="4"/>
  <c r="D469" i="4"/>
  <c r="K469" i="4"/>
  <c r="G469" i="4"/>
  <c r="H469" i="4"/>
  <c r="L469" i="4"/>
  <c r="M469" i="4" l="1"/>
  <c r="C470" i="4"/>
  <c r="E470" i="4" l="1"/>
  <c r="F470" i="4"/>
  <c r="L470" i="4"/>
  <c r="K470" i="4"/>
  <c r="H470" i="4"/>
  <c r="G470" i="4"/>
  <c r="D470" i="4"/>
  <c r="M470" i="4" l="1"/>
  <c r="C471" i="4"/>
  <c r="E471" i="4" l="1"/>
  <c r="F471" i="4"/>
  <c r="K471" i="4"/>
  <c r="H471" i="4"/>
  <c r="D471" i="4"/>
  <c r="L471" i="4"/>
  <c r="G471" i="4"/>
  <c r="C472" i="4" l="1"/>
  <c r="M471" i="4"/>
  <c r="E472" i="4" l="1"/>
  <c r="F472" i="4"/>
  <c r="D472" i="4"/>
  <c r="H472" i="4"/>
  <c r="K472" i="4"/>
  <c r="L472" i="4"/>
  <c r="G472" i="4"/>
  <c r="M472" i="4" l="1"/>
  <c r="C473" i="4"/>
  <c r="E473" i="4" l="1"/>
  <c r="F473" i="4"/>
  <c r="K473" i="4"/>
  <c r="H473" i="4"/>
  <c r="D473" i="4"/>
  <c r="G473" i="4"/>
  <c r="L473" i="4"/>
  <c r="M473" i="4" l="1"/>
  <c r="C474" i="4"/>
  <c r="E474" i="4" l="1"/>
  <c r="F474" i="4"/>
  <c r="G474" i="4"/>
  <c r="L474" i="4"/>
  <c r="D474" i="4"/>
  <c r="K474" i="4"/>
  <c r="H474" i="4"/>
  <c r="M474" i="4" l="1"/>
  <c r="C475" i="4"/>
  <c r="E475" i="4" l="1"/>
  <c r="F475" i="4"/>
  <c r="D475" i="4"/>
  <c r="G475" i="4"/>
  <c r="L475" i="4"/>
  <c r="H475" i="4"/>
  <c r="K475" i="4"/>
  <c r="M475" i="4" l="1"/>
  <c r="C476" i="4"/>
  <c r="E476" i="4" l="1"/>
  <c r="F476" i="4"/>
  <c r="G476" i="4"/>
  <c r="K476" i="4"/>
  <c r="L476" i="4"/>
  <c r="D476" i="4"/>
  <c r="H476" i="4"/>
  <c r="M476" i="4" l="1"/>
  <c r="C477" i="4"/>
  <c r="E477" i="4" l="1"/>
  <c r="F477" i="4"/>
  <c r="K477" i="4"/>
  <c r="L477" i="4"/>
  <c r="H477" i="4"/>
  <c r="D477" i="4"/>
  <c r="G477" i="4"/>
  <c r="C478" i="4" l="1"/>
  <c r="M477" i="4"/>
  <c r="E478" i="4" l="1"/>
  <c r="F478" i="4"/>
  <c r="D478" i="4"/>
  <c r="L478" i="4"/>
  <c r="G478" i="4"/>
  <c r="K478" i="4"/>
  <c r="H478" i="4"/>
  <c r="M478" i="4" l="1"/>
  <c r="C479" i="4"/>
  <c r="E479" i="4" l="1"/>
  <c r="F479" i="4"/>
  <c r="K479" i="4"/>
  <c r="L479" i="4"/>
  <c r="D479" i="4"/>
  <c r="H479" i="4"/>
  <c r="G479" i="4"/>
  <c r="M479" i="4" l="1"/>
  <c r="C480" i="4"/>
  <c r="E480" i="4" l="1"/>
  <c r="F480" i="4"/>
  <c r="L480" i="4"/>
  <c r="D480" i="4"/>
  <c r="G480" i="4"/>
  <c r="K480" i="4"/>
  <c r="H480" i="4"/>
  <c r="M480" i="4" l="1"/>
  <c r="C481" i="4"/>
  <c r="E481" i="4" l="1"/>
  <c r="F481" i="4"/>
  <c r="D481" i="4"/>
  <c r="H481" i="4"/>
  <c r="L481" i="4"/>
  <c r="K481" i="4"/>
  <c r="G481" i="4"/>
  <c r="M481" i="4" l="1"/>
  <c r="C482" i="4"/>
  <c r="E482" i="4" l="1"/>
  <c r="F482" i="4"/>
  <c r="L482" i="4"/>
  <c r="D482" i="4"/>
  <c r="K482" i="4"/>
  <c r="G482" i="4"/>
  <c r="H482" i="4"/>
  <c r="M482" i="4" l="1"/>
  <c r="C483" i="4"/>
  <c r="E483" i="4" l="1"/>
  <c r="F483" i="4"/>
  <c r="L483" i="4"/>
  <c r="D483" i="4"/>
  <c r="G483" i="4"/>
  <c r="K483" i="4"/>
  <c r="H483" i="4"/>
  <c r="M483" i="4" l="1"/>
  <c r="C484" i="4"/>
  <c r="E484" i="4" l="1"/>
  <c r="F484" i="4"/>
  <c r="K484" i="4"/>
  <c r="D484" i="4"/>
  <c r="G484" i="4"/>
  <c r="L484" i="4"/>
  <c r="H484" i="4"/>
  <c r="M484" i="4" l="1"/>
  <c r="C485" i="4"/>
  <c r="E485" i="4" l="1"/>
  <c r="F485" i="4"/>
  <c r="G485" i="4"/>
  <c r="L485" i="4"/>
  <c r="D485" i="4"/>
  <c r="H485" i="4"/>
  <c r="K485" i="4"/>
  <c r="M485" i="4" l="1"/>
  <c r="C486" i="4"/>
  <c r="E486" i="4" l="1"/>
  <c r="F486" i="4"/>
  <c r="H486" i="4"/>
  <c r="L486" i="4"/>
  <c r="G486" i="4"/>
  <c r="D486" i="4"/>
  <c r="K486" i="4"/>
  <c r="C487" i="4" l="1"/>
  <c r="M486" i="4"/>
  <c r="E487" i="4" l="1"/>
  <c r="F487" i="4"/>
  <c r="G487" i="4"/>
  <c r="D487" i="4"/>
  <c r="H487" i="4"/>
  <c r="K487" i="4"/>
  <c r="L487" i="4"/>
  <c r="M487" i="4" l="1"/>
  <c r="C488" i="4"/>
  <c r="E488" i="4" l="1"/>
  <c r="F488" i="4"/>
  <c r="G488" i="4"/>
  <c r="K488" i="4"/>
  <c r="H488" i="4"/>
  <c r="D488" i="4"/>
  <c r="L488" i="4"/>
  <c r="M488" i="4" l="1"/>
  <c r="C489" i="4"/>
  <c r="E489" i="4" l="1"/>
  <c r="F489" i="4"/>
  <c r="K489" i="4"/>
  <c r="G489" i="4"/>
  <c r="L489" i="4"/>
  <c r="H489" i="4"/>
  <c r="D489" i="4"/>
  <c r="M489" i="4" l="1"/>
  <c r="C490" i="4"/>
  <c r="E490" i="4" l="1"/>
  <c r="F490" i="4"/>
  <c r="H490" i="4"/>
  <c r="K490" i="4"/>
  <c r="L490" i="4"/>
  <c r="G490" i="4"/>
  <c r="D490" i="4"/>
  <c r="C491" i="4" l="1"/>
  <c r="M490" i="4"/>
  <c r="E491" i="4" l="1"/>
  <c r="F491" i="4"/>
  <c r="K491" i="4"/>
  <c r="G491" i="4"/>
  <c r="D491" i="4"/>
  <c r="L491" i="4"/>
  <c r="H491" i="4"/>
  <c r="M491" i="4" l="1"/>
  <c r="C492" i="4"/>
  <c r="E492" i="4" l="1"/>
  <c r="F492" i="4"/>
  <c r="H492" i="4"/>
  <c r="D492" i="4"/>
  <c r="K492" i="4"/>
  <c r="G492" i="4"/>
  <c r="L492" i="4"/>
  <c r="C493" i="4" l="1"/>
  <c r="M492" i="4"/>
  <c r="E493" i="4" l="1"/>
  <c r="F493" i="4"/>
  <c r="D493" i="4"/>
  <c r="L493" i="4"/>
  <c r="G493" i="4"/>
  <c r="K493" i="4"/>
  <c r="H493" i="4"/>
  <c r="M493" i="4" l="1"/>
  <c r="C494" i="4"/>
  <c r="E494" i="4" l="1"/>
  <c r="F494" i="4"/>
  <c r="D494" i="4"/>
  <c r="G494" i="4"/>
  <c r="K494" i="4"/>
  <c r="L494" i="4"/>
  <c r="H494" i="4"/>
  <c r="M494" i="4" l="1"/>
  <c r="C495" i="4"/>
  <c r="E495" i="4" l="1"/>
  <c r="F495" i="4"/>
  <c r="L495" i="4"/>
  <c r="K495" i="4"/>
  <c r="D495" i="4"/>
  <c r="G495" i="4"/>
  <c r="H495" i="4"/>
  <c r="M495" i="4" l="1"/>
  <c r="C496" i="4"/>
  <c r="E496" i="4" l="1"/>
  <c r="F496" i="4"/>
  <c r="H496" i="4"/>
  <c r="L496" i="4"/>
  <c r="K496" i="4"/>
  <c r="D496" i="4"/>
  <c r="G496" i="4"/>
  <c r="C497" i="4" l="1"/>
  <c r="M496" i="4"/>
  <c r="E497" i="4" l="1"/>
  <c r="F497" i="4"/>
  <c r="K497" i="4"/>
  <c r="H497" i="4"/>
  <c r="G497" i="4"/>
  <c r="L497" i="4"/>
  <c r="D497" i="4"/>
  <c r="M497" i="4" l="1"/>
  <c r="C498" i="4"/>
  <c r="E498" i="4" l="1"/>
  <c r="F498" i="4"/>
  <c r="L498" i="4"/>
  <c r="D498" i="4"/>
  <c r="K498" i="4"/>
  <c r="G498" i="4"/>
  <c r="H498" i="4"/>
  <c r="M498" i="4" l="1"/>
  <c r="C499" i="4"/>
  <c r="E499" i="4" l="1"/>
  <c r="F499" i="4"/>
  <c r="D499" i="4"/>
  <c r="G499" i="4"/>
  <c r="K499" i="4"/>
  <c r="H499" i="4"/>
  <c r="L499" i="4"/>
  <c r="M499" i="4" l="1"/>
  <c r="C500" i="4"/>
  <c r="E500" i="4" l="1"/>
  <c r="F500" i="4"/>
  <c r="D500" i="4"/>
  <c r="H500" i="4"/>
  <c r="L500" i="4"/>
  <c r="G500" i="4"/>
  <c r="K500" i="4"/>
  <c r="C501" i="4" l="1"/>
  <c r="M500" i="4"/>
  <c r="Q6" i="4"/>
  <c r="E501" i="4" l="1"/>
  <c r="F501" i="4"/>
  <c r="K501" i="4"/>
  <c r="G501" i="4"/>
  <c r="L501" i="4"/>
  <c r="H501" i="4"/>
  <c r="D501" i="4"/>
  <c r="M501" i="4" l="1"/>
  <c r="C502" i="4"/>
  <c r="E502" i="4" l="1"/>
  <c r="F502" i="4"/>
  <c r="Q4" i="4"/>
  <c r="H8" i="4"/>
  <c r="L502" i="4"/>
  <c r="K502" i="4"/>
  <c r="D502" i="4"/>
  <c r="G502" i="4"/>
  <c r="H502" i="4"/>
  <c r="M502" i="4" l="1"/>
  <c r="C503" i="4"/>
  <c r="E503" i="4" l="1"/>
  <c r="F503" i="4"/>
  <c r="L503" i="4"/>
  <c r="D503" i="4"/>
  <c r="Q7" i="4" l="1"/>
  <c r="Q8" i="4" s="1"/>
  <c r="H7" i="4" l="1"/>
</calcChain>
</file>

<file path=xl/sharedStrings.xml><?xml version="1.0" encoding="utf-8"?>
<sst xmlns="http://schemas.openxmlformats.org/spreadsheetml/2006/main" count="291" uniqueCount="243">
  <si>
    <t>Time</t>
  </si>
  <si>
    <t>Beginning Balance</t>
  </si>
  <si>
    <t>Ending Balance</t>
  </si>
  <si>
    <t>Rate of Interest:</t>
  </si>
  <si>
    <t>Months:</t>
  </si>
  <si>
    <t>Loan Amount:</t>
  </si>
  <si>
    <t>Payment*:</t>
  </si>
  <si>
    <t>Mortgage Loan Calculator</t>
  </si>
  <si>
    <t>Property Tax:</t>
  </si>
  <si>
    <t>PMI</t>
  </si>
  <si>
    <t>PMI:</t>
  </si>
  <si>
    <t>Principal Due</t>
  </si>
  <si>
    <t>Interest Due</t>
  </si>
  <si>
    <t>Property Tax</t>
  </si>
  <si>
    <t>Extra Payment</t>
  </si>
  <si>
    <t>Home Value:</t>
  </si>
  <si>
    <t>Total Monthly Payment:</t>
  </si>
  <si>
    <t>Principal Paid</t>
  </si>
  <si>
    <t>Total Payments:</t>
  </si>
  <si>
    <t>Total Interest Paid:</t>
  </si>
  <si>
    <t>Amount</t>
  </si>
  <si>
    <t>HOA</t>
  </si>
  <si>
    <t>HOA:</t>
  </si>
  <si>
    <t>Downpayment:</t>
  </si>
  <si>
    <t>Holding:</t>
  </si>
  <si>
    <t>Homeowner's Insurance</t>
  </si>
  <si>
    <t>Homeowner's Insurance: (0.35%)</t>
  </si>
  <si>
    <t>Appreciation</t>
  </si>
  <si>
    <t>Appreciation:</t>
  </si>
  <si>
    <t>Rent:</t>
  </si>
  <si>
    <t>Total HOI Paid:</t>
  </si>
  <si>
    <t>Increase</t>
  </si>
  <si>
    <t>Total PMI Paid:</t>
  </si>
  <si>
    <t>House Change:</t>
  </si>
  <si>
    <t>Total Property Tax Paid:</t>
  </si>
  <si>
    <t>Loss each house:</t>
  </si>
  <si>
    <t>Total rent Paid:</t>
  </si>
  <si>
    <t xml:space="preserve">Calc Rent </t>
  </si>
  <si>
    <t>Actual Rent</t>
  </si>
  <si>
    <t>Total Amount Paid:</t>
  </si>
  <si>
    <t>Property Value:</t>
  </si>
  <si>
    <t>Total HOA Paid:</t>
  </si>
  <si>
    <t>Payment Made (Monthly Commitment)</t>
  </si>
  <si>
    <t>Tax Saving (On Interest &amp; Property Tax)</t>
  </si>
  <si>
    <t>Address</t>
  </si>
  <si>
    <t>Rent</t>
  </si>
  <si>
    <t>Move-In Date</t>
  </si>
  <si>
    <t>Move-Out Date</t>
  </si>
  <si>
    <t>1929 Crisanto Avenue Mountain View CA - 94040</t>
  </si>
  <si>
    <t>1970 Latham Street Mountain View CA - 94040</t>
  </si>
  <si>
    <t>555 Middlefield Road Mountain View CA-94043</t>
  </si>
  <si>
    <t>Company Guest House</t>
  </si>
  <si>
    <t>C-904 Arihant Ambience Crossing Republik Ghaziabad India</t>
  </si>
  <si>
    <t>INR 15000</t>
  </si>
  <si>
    <t>India Address</t>
  </si>
  <si>
    <t>Private mortgage insurance, also called PMI, is a type of mortgage insurance you might be required to pay for if you have a conventional loan. Like other kinds of mortgage insurance, PMI protects the lender—not you—if you stop making payments on your loan. </t>
  </si>
  <si>
    <t>Closing Date</t>
  </si>
  <si>
    <t>0 Year 1 Month</t>
  </si>
  <si>
    <t>0 Year 2 Month</t>
  </si>
  <si>
    <t>0 Year 3 Month</t>
  </si>
  <si>
    <t>0 Year 4 Month</t>
  </si>
  <si>
    <t>0 Year 5 Month</t>
  </si>
  <si>
    <t>0 Year 6 Month</t>
  </si>
  <si>
    <t>0 Year 7 Month</t>
  </si>
  <si>
    <t>0 Year 8 Month</t>
  </si>
  <si>
    <t>0 Year 9 Month</t>
  </si>
  <si>
    <t>0 Year 10 Month</t>
  </si>
  <si>
    <t>0 Year 11 Month</t>
  </si>
  <si>
    <t>1 Year 0 Month</t>
  </si>
  <si>
    <t>1 Year 1 Month</t>
  </si>
  <si>
    <t>1 Year 2 Month</t>
  </si>
  <si>
    <t>1 Year 3 Month</t>
  </si>
  <si>
    <t>1 Year 4 Month</t>
  </si>
  <si>
    <t>1 Year 5 Month</t>
  </si>
  <si>
    <t>1 Year 6 Month</t>
  </si>
  <si>
    <t>1 Year 7 Month</t>
  </si>
  <si>
    <t>1 Year 8 Month</t>
  </si>
  <si>
    <t>1 Year 9 Month</t>
  </si>
  <si>
    <t>1 Year 10 Month</t>
  </si>
  <si>
    <t>1 Year 11 Month</t>
  </si>
  <si>
    <t>2 Year 0 Month</t>
  </si>
  <si>
    <t>2 Year 1 Month</t>
  </si>
  <si>
    <t>2 Year 2 Month</t>
  </si>
  <si>
    <t>2 Year 3 Month</t>
  </si>
  <si>
    <t>2 Year 4 Month</t>
  </si>
  <si>
    <t>2 Year 5 Month</t>
  </si>
  <si>
    <t>2 Year 6 Month</t>
  </si>
  <si>
    <t>2 Year 7 Month</t>
  </si>
  <si>
    <t>2 Year 8 Month</t>
  </si>
  <si>
    <t>2 Year 9 Month</t>
  </si>
  <si>
    <t>2 Year 10 Month</t>
  </si>
  <si>
    <t>2 Year 11 Month</t>
  </si>
  <si>
    <t>3 Year 0 Month</t>
  </si>
  <si>
    <t>3 Year 1 Month</t>
  </si>
  <si>
    <t>3 Year 2 Month</t>
  </si>
  <si>
    <t>3 Year 3 Month</t>
  </si>
  <si>
    <t>3 Year 4 Month</t>
  </si>
  <si>
    <t>3 Year 5 Month</t>
  </si>
  <si>
    <t>3 Year 6 Month</t>
  </si>
  <si>
    <t>3 Year 7 Month</t>
  </si>
  <si>
    <t>3 Year 8 Month</t>
  </si>
  <si>
    <t>3 Year 9 Month</t>
  </si>
  <si>
    <t>3 Year 10 Month</t>
  </si>
  <si>
    <t>3 Year 11 Month</t>
  </si>
  <si>
    <t>4 Year 0 Month</t>
  </si>
  <si>
    <t>4 Year 1 Month</t>
  </si>
  <si>
    <t>4 Year 2 Month</t>
  </si>
  <si>
    <t>4 Year 3 Month</t>
  </si>
  <si>
    <t>4 Year 4 Month</t>
  </si>
  <si>
    <t>4 Year 5 Month</t>
  </si>
  <si>
    <t>4 Year 6 Month</t>
  </si>
  <si>
    <t>4 Year 7 Month</t>
  </si>
  <si>
    <t>4 Year 8 Month</t>
  </si>
  <si>
    <t>4 Year 9 Month</t>
  </si>
  <si>
    <t>4 Year 10 Month</t>
  </si>
  <si>
    <t>4 Year 11 Month</t>
  </si>
  <si>
    <t>5 Year 0 Month</t>
  </si>
  <si>
    <t>5 Year 1 Month</t>
  </si>
  <si>
    <t>5 Year 2 Month</t>
  </si>
  <si>
    <t>5 Year 3 Month</t>
  </si>
  <si>
    <t>5 Year 4 Month</t>
  </si>
  <si>
    <t>5 Year 5 Month</t>
  </si>
  <si>
    <t>5 Year 6 Month</t>
  </si>
  <si>
    <t>5 Year 7 Month</t>
  </si>
  <si>
    <t>5 Year 8 Month</t>
  </si>
  <si>
    <t>5 Year 9 Month</t>
  </si>
  <si>
    <t>5 Year 10 Month</t>
  </si>
  <si>
    <t>5 Year 11 Month</t>
  </si>
  <si>
    <t>6 Year 0 Month</t>
  </si>
  <si>
    <t>6 Year 1 Month</t>
  </si>
  <si>
    <t>6 Year 2 Month</t>
  </si>
  <si>
    <t>6 Year 3 Month</t>
  </si>
  <si>
    <t>6 Year 4 Month</t>
  </si>
  <si>
    <t>6 Year 5 Month</t>
  </si>
  <si>
    <t>6 Year 6 Month</t>
  </si>
  <si>
    <t>6 Year 7 Month</t>
  </si>
  <si>
    <t>6 Year 8 Month</t>
  </si>
  <si>
    <t>6 Year 9 Month</t>
  </si>
  <si>
    <t>6 Year 10 Month</t>
  </si>
  <si>
    <t>6 Year 11 Month</t>
  </si>
  <si>
    <t>7 Year 0 Month</t>
  </si>
  <si>
    <t>7 Year 1 Month</t>
  </si>
  <si>
    <t>7 Year 2 Month</t>
  </si>
  <si>
    <t>7 Year 3 Month</t>
  </si>
  <si>
    <t>7 Year 4 Month</t>
  </si>
  <si>
    <t>7 Year 5 Month</t>
  </si>
  <si>
    <t>7 Year 6 Month</t>
  </si>
  <si>
    <t>7 Year 7 Month</t>
  </si>
  <si>
    <t>7 Year 8 Month</t>
  </si>
  <si>
    <t>7 Year 9 Month</t>
  </si>
  <si>
    <t>7 Year 10 Month</t>
  </si>
  <si>
    <t>7 Year 11 Month</t>
  </si>
  <si>
    <t>8 Year 0 Month</t>
  </si>
  <si>
    <t>8 Year 1 Month</t>
  </si>
  <si>
    <t>8 Year 2 Month</t>
  </si>
  <si>
    <t>8 Year 3 Month</t>
  </si>
  <si>
    <t>8 Year 4 Month</t>
  </si>
  <si>
    <t>8 Year 5 Month</t>
  </si>
  <si>
    <t>8 Year 6 Month</t>
  </si>
  <si>
    <t>8 Year 7 Month</t>
  </si>
  <si>
    <t>8 Year 8 Month</t>
  </si>
  <si>
    <t>8 Year 9 Month</t>
  </si>
  <si>
    <t>8 Year 10 Month</t>
  </si>
  <si>
    <t>8 Year 11 Month</t>
  </si>
  <si>
    <t>9 Year 0 Month</t>
  </si>
  <si>
    <t>9 Year 1 Month</t>
  </si>
  <si>
    <t>9 Year 2 Month</t>
  </si>
  <si>
    <t>9 Year 3 Month</t>
  </si>
  <si>
    <t>9 Year 4 Month</t>
  </si>
  <si>
    <t>9 Year 5 Month</t>
  </si>
  <si>
    <t>9 Year 6 Month</t>
  </si>
  <si>
    <t>9 Year 7 Month</t>
  </si>
  <si>
    <t>9 Year 8 Month</t>
  </si>
  <si>
    <t>9 Year 9 Month</t>
  </si>
  <si>
    <t>9 Year 10 Month</t>
  </si>
  <si>
    <t>9 Year 11 Month</t>
  </si>
  <si>
    <t>10 Year 0 Month</t>
  </si>
  <si>
    <t>10 Year 1 Month</t>
  </si>
  <si>
    <t>10 Year 2 Month</t>
  </si>
  <si>
    <t>10 Year 3 Month</t>
  </si>
  <si>
    <t>10 Year 4 Month</t>
  </si>
  <si>
    <t>10 Year 5 Month</t>
  </si>
  <si>
    <t>10 Year 6 Month</t>
  </si>
  <si>
    <t>10 Year 7 Month</t>
  </si>
  <si>
    <t>10 Year 8 Month</t>
  </si>
  <si>
    <t>10 Year 9 Month</t>
  </si>
  <si>
    <t>10 Year 10 Month</t>
  </si>
  <si>
    <t>10 Year 11 Month</t>
  </si>
  <si>
    <t>11 Year 0 Month</t>
  </si>
  <si>
    <t>11 Year 1 Month</t>
  </si>
  <si>
    <t>11 Year 2 Month</t>
  </si>
  <si>
    <t>11 Year 3 Month</t>
  </si>
  <si>
    <t>11 Year 4 Month</t>
  </si>
  <si>
    <t>11 Year 5 Month</t>
  </si>
  <si>
    <t>11 Year 6 Month</t>
  </si>
  <si>
    <t>11 Year 7 Month</t>
  </si>
  <si>
    <t>11 Year 8 Month</t>
  </si>
  <si>
    <t>11 Year 9 Month</t>
  </si>
  <si>
    <t>11 Year 10 Month</t>
  </si>
  <si>
    <t>11 Year 11 Month</t>
  </si>
  <si>
    <t>12 Year 0 Month</t>
  </si>
  <si>
    <t>12 Year 1 Month</t>
  </si>
  <si>
    <t>12 Year 2 Month</t>
  </si>
  <si>
    <t>12 Year 3 Month</t>
  </si>
  <si>
    <t>12 Year 4 Month</t>
  </si>
  <si>
    <t>12 Year 5 Month</t>
  </si>
  <si>
    <t>12 Year 6 Month</t>
  </si>
  <si>
    <t>12 Year 7 Month</t>
  </si>
  <si>
    <t>12 Year 8 Month</t>
  </si>
  <si>
    <t>12 Year 9 Month</t>
  </si>
  <si>
    <t>12 Year 10 Month</t>
  </si>
  <si>
    <t>12 Year 11 Month</t>
  </si>
  <si>
    <t>13 Year 0 Month</t>
  </si>
  <si>
    <t>13 Year 1 Month</t>
  </si>
  <si>
    <t>13 Year 2 Month</t>
  </si>
  <si>
    <t>13 Year 3 Month</t>
  </si>
  <si>
    <t>13 Year 4 Month</t>
  </si>
  <si>
    <t>13 Year 5 Month</t>
  </si>
  <si>
    <t>13 Year 6 Month</t>
  </si>
  <si>
    <t>13 Year 7 Month</t>
  </si>
  <si>
    <t>13 Year 8 Month</t>
  </si>
  <si>
    <t>13 Year 9 Month</t>
  </si>
  <si>
    <t>13 Year 10 Month</t>
  </si>
  <si>
    <t>13 Year 11 Month</t>
  </si>
  <si>
    <t>14 Year 0 Month</t>
  </si>
  <si>
    <t>14 Year 1 Month</t>
  </si>
  <si>
    <t>14 Year 2 Month</t>
  </si>
  <si>
    <t>14 Year 3 Month</t>
  </si>
  <si>
    <t>14 Year 4 Month</t>
  </si>
  <si>
    <t>14 Year 5 Month</t>
  </si>
  <si>
    <t>14 Year 6 Month</t>
  </si>
  <si>
    <t>14 Year 7 Month</t>
  </si>
  <si>
    <t>14 Year 8 Month</t>
  </si>
  <si>
    <t>14 Year 9 Month</t>
  </si>
  <si>
    <t>14 Year 10 Month</t>
  </si>
  <si>
    <t>14 Year 11 Month</t>
  </si>
  <si>
    <t>15 Year 0 Month</t>
  </si>
  <si>
    <t>15 Year 1 Month</t>
  </si>
  <si>
    <t>15 Year 2 Month</t>
  </si>
  <si>
    <t>15 Year 3 Month</t>
  </si>
  <si>
    <t>Loan End Date :</t>
  </si>
  <si>
    <t>After :</t>
  </si>
  <si>
    <t>Sheet 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</si>
</sst>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7"/>
      <color rgb="FF101820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</borders>
  <cellStyleXfs count="6">
    <xf numFmtId="0" fontId="0" fillId="0" borderId="0"/>
    <xf numFmtId="0" fontId="6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4" borderId="9" applyNumberFormat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1" applyFont="1"/>
    <xf numFmtId="0" fontId="6" fillId="0" borderId="0" xfId="1"/>
    <xf numFmtId="0" fontId="5" fillId="0" borderId="0" xfId="2" applyAlignment="1" applyProtection="1">
      <alignment horizontal="right"/>
    </xf>
    <xf numFmtId="0" fontId="6" fillId="0" borderId="0" xfId="1" applyAlignment="1">
      <alignment horizontal="right"/>
    </xf>
    <xf numFmtId="0" fontId="1" fillId="3" borderId="0" xfId="1" applyFont="1" applyFill="1" applyAlignment="1">
      <alignment horizontal="right"/>
    </xf>
    <xf numFmtId="6" fontId="6" fillId="0" borderId="1" xfId="1" applyNumberFormat="1" applyBorder="1" applyAlignment="1">
      <alignment horizontal="center"/>
    </xf>
    <xf numFmtId="10" fontId="6" fillId="0" borderId="1" xfId="1" applyNumberFormat="1" applyBorder="1"/>
    <xf numFmtId="8" fontId="1" fillId="3" borderId="0" xfId="1" applyNumberFormat="1" applyFont="1" applyFill="1"/>
    <xf numFmtId="6" fontId="6" fillId="0" borderId="0" xfId="1" applyNumberFormat="1"/>
    <xf numFmtId="0" fontId="1" fillId="3" borderId="0" xfId="1" applyFont="1" applyFill="1"/>
    <xf numFmtId="6" fontId="1" fillId="3" borderId="0" xfId="1" applyNumberFormat="1" applyFont="1" applyFill="1"/>
    <xf numFmtId="10" fontId="6" fillId="0" borderId="1" xfId="1" applyNumberFormat="1" applyBorder="1" applyAlignment="1">
      <alignment horizontal="center"/>
    </xf>
    <xf numFmtId="6" fontId="1" fillId="3" borderId="0" xfId="1" applyNumberFormat="1" applyFont="1" applyFill="1" applyAlignment="1">
      <alignment horizontal="right"/>
    </xf>
    <xf numFmtId="9" fontId="1" fillId="3" borderId="0" xfId="1" applyNumberFormat="1" applyFont="1" applyFill="1"/>
    <xf numFmtId="1" fontId="6" fillId="0" borderId="1" xfId="1" applyNumberFormat="1" applyBorder="1" applyAlignment="1">
      <alignment horizontal="center"/>
    </xf>
    <xf numFmtId="8" fontId="1" fillId="3" borderId="0" xfId="1" applyNumberFormat="1" applyFont="1" applyFill="1" applyAlignment="1">
      <alignment horizontal="right"/>
    </xf>
    <xf numFmtId="9" fontId="1" fillId="3" borderId="0" xfId="1" applyNumberFormat="1" applyFont="1" applyFill="1" applyAlignment="1">
      <alignment horizontal="right"/>
    </xf>
    <xf numFmtId="2" fontId="1" fillId="3" borderId="0" xfId="1" applyNumberFormat="1" applyFont="1" applyFill="1"/>
    <xf numFmtId="0" fontId="4" fillId="0" borderId="0" xfId="1" applyFont="1" applyAlignment="1">
      <alignment horizontal="right"/>
    </xf>
    <xf numFmtId="0" fontId="3" fillId="2" borderId="2" xfId="1" applyFont="1" applyFill="1" applyBorder="1" applyAlignment="1">
      <alignment horizontal="center" wrapText="1"/>
    </xf>
    <xf numFmtId="0" fontId="3" fillId="2" borderId="3" xfId="1" applyFont="1" applyFill="1" applyBorder="1" applyAlignment="1">
      <alignment horizontal="center" wrapText="1"/>
    </xf>
    <xf numFmtId="0" fontId="6" fillId="0" borderId="4" xfId="1" applyBorder="1"/>
    <xf numFmtId="8" fontId="6" fillId="0" borderId="1" xfId="1" applyNumberFormat="1" applyBorder="1"/>
    <xf numFmtId="0" fontId="6" fillId="0" borderId="1" xfId="1" applyBorder="1"/>
    <xf numFmtId="2" fontId="6" fillId="0" borderId="5" xfId="1" applyNumberFormat="1" applyBorder="1"/>
    <xf numFmtId="0" fontId="6" fillId="0" borderId="6" xfId="1" applyBorder="1"/>
    <xf numFmtId="8" fontId="6" fillId="0" borderId="7" xfId="1" applyNumberFormat="1" applyBorder="1"/>
    <xf numFmtId="0" fontId="6" fillId="0" borderId="7" xfId="1" applyBorder="1"/>
    <xf numFmtId="2" fontId="6" fillId="0" borderId="8" xfId="1" applyNumberFormat="1" applyBorder="1"/>
    <xf numFmtId="8" fontId="6" fillId="0" borderId="0" xfId="1" applyNumberFormat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right"/>
    </xf>
    <xf numFmtId="0" fontId="0" fillId="0" borderId="1" xfId="0" applyBorder="1"/>
    <xf numFmtId="14" fontId="0" fillId="0" borderId="1" xfId="0" applyNumberFormat="1" applyBorder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0" borderId="4" xfId="0" applyBorder="1"/>
    <xf numFmtId="6" fontId="0" fillId="0" borderId="5" xfId="0" applyNumberFormat="1" applyBorder="1"/>
    <xf numFmtId="0" fontId="0" fillId="0" borderId="6" xfId="0" applyBorder="1"/>
    <xf numFmtId="14" fontId="0" fillId="0" borderId="7" xfId="0" applyNumberFormat="1" applyBorder="1"/>
    <xf numFmtId="0" fontId="0" fillId="0" borderId="8" xfId="0" applyBorder="1"/>
    <xf numFmtId="0" fontId="8" fillId="0" borderId="2" xfId="0" applyFont="1" applyBorder="1"/>
    <xf numFmtId="0" fontId="0" fillId="0" borderId="3" xfId="0" applyBorder="1"/>
    <xf numFmtId="0" fontId="0" fillId="0" borderId="10" xfId="0" applyBorder="1"/>
    <xf numFmtId="0" fontId="0" fillId="0" borderId="8" xfId="0" applyBorder="1" applyAlignment="1">
      <alignment horizontal="right"/>
    </xf>
    <xf numFmtId="0" fontId="1" fillId="3" borderId="0" xfId="1" applyFont="1" applyFill="1" applyAlignment="1">
      <alignment horizontal="right"/>
    </xf>
    <xf numFmtId="0" fontId="11" fillId="0" borderId="0" xfId="0" applyFont="1"/>
    <xf numFmtId="0" fontId="0" fillId="0" borderId="0" xfId="0" applyAlignment="1">
      <alignment wrapText="1"/>
    </xf>
    <xf numFmtId="16" fontId="6" fillId="0" borderId="0" xfId="1" applyNumberFormat="1"/>
    <xf numFmtId="14" fontId="6" fillId="0" borderId="1" xfId="1" applyNumberFormat="1" applyBorder="1" applyAlignment="1">
      <alignment horizontal="center"/>
    </xf>
    <xf numFmtId="164" fontId="6" fillId="0" borderId="1" xfId="1" applyNumberFormat="1" applyBorder="1"/>
    <xf numFmtId="15" fontId="6" fillId="0" borderId="0" xfId="1" applyNumberFormat="1"/>
    <xf numFmtId="0" fontId="6" fillId="5" borderId="1" xfId="1" applyFill="1" applyBorder="1"/>
    <xf numFmtId="0" fontId="1" fillId="3" borderId="0" xfId="1" applyFont="1" applyFill="1" applyAlignment="1">
      <alignment horizontal="right"/>
    </xf>
    <xf numFmtId="14" fontId="6" fillId="0" borderId="0" xfId="1" applyNumberFormat="1"/>
    <xf numFmtId="0" fontId="1" fillId="3" borderId="0" xfId="1" applyFont="1" applyFill="1" applyAlignment="1">
      <alignment horizontal="right"/>
    </xf>
    <xf numFmtId="14" fontId="0" fillId="0" borderId="0" xfId="0" applyNumberFormat="1"/>
    <xf numFmtId="0" fontId="12" fillId="0" borderId="0" xfId="1" applyFont="1"/>
  </cellXfs>
  <cellStyles count="6">
    <cellStyle name="Calculation 2" xfId="3" xr:uid="{00000000-0005-0000-0000-000000000000}"/>
    <cellStyle name="Followed Hyperlink" xfId="5" builtinId="9" hidden="1"/>
    <cellStyle name="Hyperlink" xfId="4" builtinId="8" hidden="1"/>
    <cellStyle name="Hyperlink 2" xfId="2" xr:uid="{00000000-0005-0000-0000-000003000000}"/>
    <cellStyle name="Normal" xfId="0" builtinId="0"/>
    <cellStyle name="Normal 2" xfId="1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123825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T503"/>
  <sheetViews>
    <sheetView showGridLines="0" tabSelected="1" zoomScale="120" zoomScaleNormal="120" zoomScalePageLayoutView="120" workbookViewId="0">
      <selection activeCell="I18" sqref="I18"/>
    </sheetView>
  </sheetViews>
  <sheetFormatPr defaultColWidth="8.85546875" defaultRowHeight="15" x14ac:dyDescent="0.25"/>
  <cols>
    <col min="1" max="1" width="16.7109375" style="2" bestFit="1" customWidth="1"/>
    <col min="2" max="2" width="10.5703125" style="2" bestFit="1" customWidth="1"/>
    <col min="3" max="3" width="16.85546875" style="2" customWidth="1"/>
    <col min="4" max="4" width="14.28515625" style="2" customWidth="1"/>
    <col min="5" max="5" width="14.42578125" style="2" customWidth="1"/>
    <col min="6" max="6" width="15.85546875" style="2" customWidth="1"/>
    <col min="7" max="7" width="12.7109375" style="2" customWidth="1"/>
    <col min="8" max="8" width="11.28515625" style="2" bestFit="1" customWidth="1"/>
    <col min="9" max="9" width="9.5703125" style="2" customWidth="1"/>
    <col min="10" max="10" width="13" style="2" customWidth="1"/>
    <col min="11" max="11" width="12.42578125" style="2" customWidth="1"/>
    <col min="12" max="12" width="13.85546875" style="2" customWidth="1"/>
    <col min="13" max="13" width="13.7109375" style="2" customWidth="1"/>
    <col min="14" max="14" width="10.7109375" style="2" customWidth="1"/>
    <col min="15" max="15" width="12.28515625" style="2" customWidth="1"/>
    <col min="16" max="16" width="12" style="2" customWidth="1"/>
    <col min="17" max="17" width="15.5703125" style="2" customWidth="1"/>
    <col min="18" max="18" width="12.28515625" style="2" bestFit="1" customWidth="1"/>
    <col min="19" max="20" width="12.7109375" style="2" customWidth="1"/>
    <col min="21" max="16384" width="8.85546875" style="2"/>
  </cols>
  <sheetData>
    <row r="2" spans="1:20" ht="23.1" customHeight="1" x14ac:dyDescent="0.4">
      <c r="A2" s="59" t="s">
        <v>242</v>
      </c>
      <c r="C2" s="1" t="s">
        <v>7</v>
      </c>
      <c r="G2" s="3"/>
      <c r="M2" s="4"/>
      <c r="N2" s="4"/>
    </row>
    <row r="3" spans="1:20" ht="18.95" customHeight="1" x14ac:dyDescent="0.4">
      <c r="C3" s="1"/>
      <c r="G3" s="3"/>
      <c r="M3" s="3"/>
      <c r="N3" s="3"/>
      <c r="O3" s="10"/>
      <c r="P3" s="31" t="s">
        <v>41</v>
      </c>
      <c r="Q3" s="8">
        <f>SUM(N11:N501)</f>
        <v>55200</v>
      </c>
    </row>
    <row r="4" spans="1:20" x14ac:dyDescent="0.25">
      <c r="C4" s="5" t="s">
        <v>15</v>
      </c>
      <c r="D4" s="6">
        <v>145000</v>
      </c>
      <c r="F4" s="5" t="s">
        <v>8</v>
      </c>
      <c r="G4" s="7">
        <v>2.8000000000000001E-2</v>
      </c>
      <c r="H4" s="8">
        <f>+(D4*G4)/12</f>
        <v>338.33333333333331</v>
      </c>
      <c r="K4" s="5"/>
      <c r="L4" s="5" t="s">
        <v>22</v>
      </c>
      <c r="M4" s="5">
        <v>276</v>
      </c>
      <c r="N4" s="9"/>
      <c r="O4" s="10"/>
      <c r="P4" s="5" t="s">
        <v>19</v>
      </c>
      <c r="Q4" s="8">
        <f>SUM(E12:E502)</f>
        <v>27912.87056286903</v>
      </c>
      <c r="S4" s="5" t="s">
        <v>29</v>
      </c>
      <c r="T4" s="11">
        <v>1100</v>
      </c>
    </row>
    <row r="5" spans="1:20" x14ac:dyDescent="0.25">
      <c r="C5" s="5" t="s">
        <v>3</v>
      </c>
      <c r="D5" s="12">
        <v>3.7499999999999999E-2</v>
      </c>
      <c r="F5" s="5" t="s">
        <v>10</v>
      </c>
      <c r="G5" s="7">
        <v>0</v>
      </c>
      <c r="H5" s="8">
        <f>+G5*D7/12</f>
        <v>0</v>
      </c>
      <c r="K5" s="5"/>
      <c r="L5" s="5" t="s">
        <v>23</v>
      </c>
      <c r="M5" s="13">
        <f>D4-D7</f>
        <v>29000</v>
      </c>
      <c r="O5" s="10"/>
      <c r="P5" s="5" t="s">
        <v>30</v>
      </c>
      <c r="Q5" s="8">
        <f>SUM(J12:J500)</f>
        <v>2783.3333333333298</v>
      </c>
      <c r="S5" s="5" t="s">
        <v>31</v>
      </c>
      <c r="T5" s="14">
        <v>0.03</v>
      </c>
    </row>
    <row r="6" spans="1:20" x14ac:dyDescent="0.25">
      <c r="C6" s="5" t="s">
        <v>4</v>
      </c>
      <c r="D6" s="15">
        <v>360</v>
      </c>
      <c r="F6" s="10"/>
      <c r="G6" s="5" t="s">
        <v>16</v>
      </c>
      <c r="H6" s="16">
        <f>+D8+H5+H4</f>
        <v>875.5474195570016</v>
      </c>
      <c r="I6" s="4"/>
      <c r="J6" s="4"/>
      <c r="K6" s="5"/>
      <c r="L6" s="5" t="s">
        <v>24</v>
      </c>
      <c r="M6" s="16">
        <f>M5+2*H6+0.01*D4</f>
        <v>32201.094839114005</v>
      </c>
      <c r="O6" s="10"/>
      <c r="P6" s="5" t="s">
        <v>32</v>
      </c>
      <c r="Q6" s="8">
        <f>SUM(H12:H500)</f>
        <v>0</v>
      </c>
      <c r="S6" s="10" t="s">
        <v>33</v>
      </c>
      <c r="T6" s="10">
        <v>10</v>
      </c>
    </row>
    <row r="7" spans="1:20" x14ac:dyDescent="0.25">
      <c r="C7" s="5" t="s">
        <v>5</v>
      </c>
      <c r="D7" s="6">
        <f>D4*0.8</f>
        <v>116000</v>
      </c>
      <c r="F7" s="10"/>
      <c r="G7" s="5" t="s">
        <v>18</v>
      </c>
      <c r="H7" s="8" t="e">
        <f>SUM(M12:M502)</f>
        <v>#VALUE!</v>
      </c>
      <c r="K7" s="5"/>
      <c r="L7" s="5" t="s">
        <v>26</v>
      </c>
      <c r="M7" s="16">
        <f>0.35/100*D4/12</f>
        <v>42.291666666666664</v>
      </c>
      <c r="O7" s="10"/>
      <c r="P7" s="5" t="s">
        <v>34</v>
      </c>
      <c r="Q7" s="8">
        <f>SUM(G12:G501)</f>
        <v>67666.666666666817</v>
      </c>
      <c r="S7" s="10" t="s">
        <v>35</v>
      </c>
      <c r="T7" s="11">
        <v>1000</v>
      </c>
    </row>
    <row r="8" spans="1:20" x14ac:dyDescent="0.25">
      <c r="C8" s="5" t="s">
        <v>6</v>
      </c>
      <c r="D8" s="8">
        <f>-PMT(D5/12,D6,D7)</f>
        <v>537.21408622366823</v>
      </c>
      <c r="F8" s="10"/>
      <c r="G8" s="5" t="s">
        <v>19</v>
      </c>
      <c r="H8" s="8">
        <f>SUM(E12:E502)</f>
        <v>27912.87056286903</v>
      </c>
      <c r="K8" s="5"/>
      <c r="L8" s="5" t="s">
        <v>28</v>
      </c>
      <c r="M8" s="17">
        <v>0.03</v>
      </c>
      <c r="O8" s="10"/>
      <c r="P8" s="5" t="s">
        <v>39</v>
      </c>
      <c r="Q8" s="8">
        <f>SUM(Q3:Q7) + D4</f>
        <v>298562.87056286918</v>
      </c>
      <c r="S8" s="10" t="s">
        <v>36</v>
      </c>
      <c r="T8" s="18">
        <f>SUM(S12:S501) + T6*T7</f>
        <v>637995.48732344992</v>
      </c>
    </row>
    <row r="9" spans="1:20" x14ac:dyDescent="0.25">
      <c r="C9" s="47" t="s">
        <v>56</v>
      </c>
      <c r="D9" s="51">
        <v>43610</v>
      </c>
      <c r="K9" s="57" t="s">
        <v>40</v>
      </c>
      <c r="L9" s="57"/>
      <c r="M9" s="16">
        <f>$R372</f>
        <v>341701.99837135983</v>
      </c>
    </row>
    <row r="10" spans="1:20" ht="15.75" thickBot="1" x14ac:dyDescent="0.3">
      <c r="F10" s="55" t="s">
        <v>240</v>
      </c>
      <c r="G10" s="56">
        <v>49583</v>
      </c>
      <c r="H10" s="55" t="s">
        <v>241</v>
      </c>
      <c r="I10" s="2" t="s">
        <v>239</v>
      </c>
      <c r="M10" s="19"/>
      <c r="N10" s="19"/>
    </row>
    <row r="11" spans="1:20" ht="60" x14ac:dyDescent="0.25">
      <c r="C11" s="20" t="s">
        <v>0</v>
      </c>
      <c r="D11" s="21" t="s">
        <v>1</v>
      </c>
      <c r="E11" s="21" t="s">
        <v>12</v>
      </c>
      <c r="F11" s="21" t="s">
        <v>11</v>
      </c>
      <c r="G11" s="21" t="s">
        <v>13</v>
      </c>
      <c r="H11" s="21" t="s">
        <v>9</v>
      </c>
      <c r="I11" s="21" t="s">
        <v>14</v>
      </c>
      <c r="J11" s="21" t="s">
        <v>25</v>
      </c>
      <c r="K11" s="21" t="s">
        <v>17</v>
      </c>
      <c r="L11" s="21" t="s">
        <v>2</v>
      </c>
      <c r="M11" s="21" t="s">
        <v>42</v>
      </c>
      <c r="N11" s="21" t="s">
        <v>21</v>
      </c>
      <c r="O11" s="21" t="s">
        <v>43</v>
      </c>
      <c r="P11" s="21" t="s">
        <v>20</v>
      </c>
      <c r="Q11" s="21" t="s">
        <v>37</v>
      </c>
      <c r="R11" s="21" t="s">
        <v>27</v>
      </c>
      <c r="S11" s="21" t="s">
        <v>38</v>
      </c>
    </row>
    <row r="12" spans="1:20" x14ac:dyDescent="0.25">
      <c r="B12" s="50"/>
      <c r="C12" s="22">
        <v>0</v>
      </c>
      <c r="D12" s="23"/>
      <c r="E12" s="23"/>
      <c r="F12" s="23"/>
      <c r="G12" s="24"/>
      <c r="H12" s="23"/>
      <c r="I12" s="24"/>
      <c r="J12" s="23"/>
      <c r="K12" s="23"/>
      <c r="L12" s="23"/>
      <c r="M12" s="23"/>
      <c r="N12" s="23"/>
      <c r="O12" s="23"/>
      <c r="P12" s="23"/>
      <c r="Q12" s="23"/>
      <c r="R12" s="23"/>
      <c r="S12" s="25"/>
    </row>
    <row r="13" spans="1:20" x14ac:dyDescent="0.25">
      <c r="A13" t="s">
        <v>57</v>
      </c>
      <c r="B13" s="58">
        <v>44044</v>
      </c>
      <c r="C13" s="22">
        <v>1</v>
      </c>
      <c r="D13" s="23">
        <f>$D$7-100</f>
        <v>115900</v>
      </c>
      <c r="E13" s="23">
        <f t="shared" ref="E13:E80" si="0">IF(C13="","",($D$5/12)*D13)</f>
        <v>362.18749999999994</v>
      </c>
      <c r="F13" s="23">
        <f t="shared" ref="F13:F84" si="1">IF(C13="","",$D$8-E13)</f>
        <v>175.02658622366829</v>
      </c>
      <c r="G13" s="52">
        <f t="shared" ref="G13:G76" si="2">+IF(C13="",0,$H$4)</f>
        <v>338.33333333333331</v>
      </c>
      <c r="H13" s="23">
        <v>0</v>
      </c>
      <c r="I13" s="24"/>
      <c r="J13" s="23">
        <f>IF(C13="","",167/12)</f>
        <v>13.916666666666666</v>
      </c>
      <c r="K13" s="23">
        <v>174.71408622366826</v>
      </c>
      <c r="L13" s="23">
        <v>115825.28591377633</v>
      </c>
      <c r="M13" s="23">
        <v>917.83908622366812</v>
      </c>
      <c r="N13" s="23">
        <f>IF(C13="","",$M$4)</f>
        <v>276</v>
      </c>
      <c r="O13" s="23">
        <f>(E13+G13)*0</f>
        <v>0</v>
      </c>
      <c r="P13" s="23">
        <v>1007.5890862236681</v>
      </c>
      <c r="Q13" s="23">
        <v>1132.875</v>
      </c>
      <c r="R13" s="23">
        <v>145000</v>
      </c>
      <c r="S13" s="25">
        <v>1100</v>
      </c>
    </row>
    <row r="14" spans="1:20" x14ac:dyDescent="0.25">
      <c r="A14" t="s">
        <v>58</v>
      </c>
      <c r="B14" s="58">
        <v>44075</v>
      </c>
      <c r="C14" s="22">
        <f t="shared" ref="C14:C77" si="3">+IF(L13&gt;1,IF(C13="","",C13+1),"")</f>
        <v>2</v>
      </c>
      <c r="D14" s="23">
        <f t="shared" ref="D14:D77" si="4">+IF(C14="","",L13)</f>
        <v>115825.28591377633</v>
      </c>
      <c r="E14" s="23">
        <f t="shared" si="0"/>
        <v>361.95401848055099</v>
      </c>
      <c r="F14" s="23">
        <f t="shared" si="1"/>
        <v>175.26006774311725</v>
      </c>
      <c r="G14" s="52">
        <f t="shared" si="2"/>
        <v>338.33333333333331</v>
      </c>
      <c r="H14" s="23">
        <f t="shared" ref="H14:H77" si="5">+IF(C14="",0,IF(D14&lt;$D$4*0.8,0,$H$5))</f>
        <v>0</v>
      </c>
      <c r="I14" s="54">
        <v>713.62</v>
      </c>
      <c r="J14" s="23">
        <f t="shared" ref="J14:J77" si="6">IF(C14="","",167/12)</f>
        <v>13.916666666666666</v>
      </c>
      <c r="K14" s="23">
        <f t="shared" ref="K14:K77" si="7">+IF(C14="",0,F14+I14)</f>
        <v>888.88006774311725</v>
      </c>
      <c r="L14" s="23">
        <f t="shared" ref="L14:L77" si="8">+IF(C14="","",D14-K14)</f>
        <v>114936.40584603322</v>
      </c>
      <c r="M14" s="23">
        <f t="shared" ref="M14:M77" si="9">J14+I14+H14+G14+F14+E14</f>
        <v>1603.0840862236682</v>
      </c>
      <c r="N14" s="23">
        <f t="shared" ref="N14:N77" si="10">IF(C14="","",$M$4)</f>
        <v>276</v>
      </c>
      <c r="O14" s="23">
        <f t="shared" ref="O14:O77" si="11">(E14+G14)*0</f>
        <v>0</v>
      </c>
      <c r="P14" s="23">
        <f t="shared" ref="P14" si="12">M14+N14-O14</f>
        <v>1879.0840862236682</v>
      </c>
      <c r="Q14" s="23">
        <f t="shared" ref="Q14:Q77" si="13">P14-F14+N14</f>
        <v>1979.8240184805509</v>
      </c>
      <c r="R14" s="23">
        <f t="shared" ref="R14:R24" si="14">$D$4 + $D$4*0</f>
        <v>145000</v>
      </c>
      <c r="S14" s="25">
        <f t="shared" ref="S14:S24" si="15">$T$4</f>
        <v>1100</v>
      </c>
    </row>
    <row r="15" spans="1:20" x14ac:dyDescent="0.25">
      <c r="A15" t="s">
        <v>59</v>
      </c>
      <c r="B15" s="58">
        <v>44105</v>
      </c>
      <c r="C15" s="22">
        <f t="shared" si="3"/>
        <v>3</v>
      </c>
      <c r="D15" s="23">
        <f t="shared" si="4"/>
        <v>114936.40584603322</v>
      </c>
      <c r="E15" s="23">
        <f t="shared" si="0"/>
        <v>359.17626826885379</v>
      </c>
      <c r="F15" s="23">
        <f t="shared" si="1"/>
        <v>178.03781795481444</v>
      </c>
      <c r="G15" s="52">
        <f t="shared" si="2"/>
        <v>338.33333333333331</v>
      </c>
      <c r="H15" s="23">
        <f t="shared" si="5"/>
        <v>0</v>
      </c>
      <c r="I15" s="54">
        <v>26000</v>
      </c>
      <c r="J15" s="23">
        <f t="shared" si="6"/>
        <v>13.916666666666666</v>
      </c>
      <c r="K15" s="23">
        <f t="shared" si="7"/>
        <v>26178.037817954813</v>
      </c>
      <c r="L15" s="23">
        <f t="shared" si="8"/>
        <v>88758.368028078403</v>
      </c>
      <c r="M15" s="23">
        <f t="shared" si="9"/>
        <v>26889.464086223667</v>
      </c>
      <c r="N15" s="23">
        <f t="shared" si="10"/>
        <v>276</v>
      </c>
      <c r="O15" s="23">
        <f t="shared" si="11"/>
        <v>0</v>
      </c>
      <c r="P15" s="23">
        <f t="shared" ref="P15" si="16">M15+N15-O15</f>
        <v>27165.464086223667</v>
      </c>
      <c r="Q15" s="23">
        <f t="shared" si="13"/>
        <v>27263.426268268853</v>
      </c>
      <c r="R15" s="23">
        <f t="shared" si="14"/>
        <v>145000</v>
      </c>
      <c r="S15" s="25">
        <f t="shared" si="15"/>
        <v>1100</v>
      </c>
    </row>
    <row r="16" spans="1:20" x14ac:dyDescent="0.25">
      <c r="A16" t="s">
        <v>60</v>
      </c>
      <c r="B16" s="58">
        <v>44136</v>
      </c>
      <c r="C16" s="22">
        <f t="shared" si="3"/>
        <v>4</v>
      </c>
      <c r="D16" s="23">
        <f t="shared" si="4"/>
        <v>88758.368028078403</v>
      </c>
      <c r="E16" s="23">
        <f t="shared" si="0"/>
        <v>277.36990008774501</v>
      </c>
      <c r="F16" s="23">
        <f t="shared" si="1"/>
        <v>259.84418613592322</v>
      </c>
      <c r="G16" s="52">
        <f t="shared" si="2"/>
        <v>338.33333333333331</v>
      </c>
      <c r="H16" s="23">
        <f t="shared" si="5"/>
        <v>0</v>
      </c>
      <c r="I16" s="54">
        <v>5000</v>
      </c>
      <c r="J16" s="23">
        <f t="shared" si="6"/>
        <v>13.916666666666666</v>
      </c>
      <c r="K16" s="23">
        <f t="shared" si="7"/>
        <v>5259.8441861359233</v>
      </c>
      <c r="L16" s="23">
        <f t="shared" si="8"/>
        <v>83498.523841942486</v>
      </c>
      <c r="M16" s="23">
        <f t="shared" si="9"/>
        <v>5889.4640862236683</v>
      </c>
      <c r="N16" s="23">
        <f t="shared" si="10"/>
        <v>276</v>
      </c>
      <c r="O16" s="23">
        <f t="shared" si="11"/>
        <v>0</v>
      </c>
      <c r="P16" s="23">
        <f t="shared" ref="P16:P76" si="17">M16+N16-O16</f>
        <v>6165.4640862236683</v>
      </c>
      <c r="Q16" s="23">
        <f t="shared" si="13"/>
        <v>6181.619900087745</v>
      </c>
      <c r="R16" s="23">
        <f t="shared" si="14"/>
        <v>145000</v>
      </c>
      <c r="S16" s="25">
        <f t="shared" si="15"/>
        <v>1100</v>
      </c>
    </row>
    <row r="17" spans="1:19" x14ac:dyDescent="0.25">
      <c r="A17" t="s">
        <v>61</v>
      </c>
      <c r="B17" s="58">
        <v>44166</v>
      </c>
      <c r="C17" s="22">
        <f t="shared" si="3"/>
        <v>5</v>
      </c>
      <c r="D17" s="23">
        <f t="shared" si="4"/>
        <v>83498.523841942486</v>
      </c>
      <c r="E17" s="23">
        <f t="shared" si="0"/>
        <v>260.93288700607025</v>
      </c>
      <c r="F17" s="23">
        <f t="shared" si="1"/>
        <v>276.28119921759799</v>
      </c>
      <c r="G17" s="52">
        <f t="shared" si="2"/>
        <v>338.33333333333331</v>
      </c>
      <c r="H17" s="23">
        <f t="shared" si="5"/>
        <v>0</v>
      </c>
      <c r="I17" s="54">
        <v>5000</v>
      </c>
      <c r="J17" s="23">
        <f t="shared" si="6"/>
        <v>13.916666666666666</v>
      </c>
      <c r="K17" s="23">
        <f t="shared" si="7"/>
        <v>5276.2811992175975</v>
      </c>
      <c r="L17" s="23">
        <f t="shared" si="8"/>
        <v>78222.242642724887</v>
      </c>
      <c r="M17" s="23">
        <f t="shared" si="9"/>
        <v>5889.4640862236674</v>
      </c>
      <c r="N17" s="23">
        <f t="shared" si="10"/>
        <v>276</v>
      </c>
      <c r="O17" s="23">
        <f t="shared" si="11"/>
        <v>0</v>
      </c>
      <c r="P17" s="23">
        <f t="shared" si="17"/>
        <v>6165.4640862236674</v>
      </c>
      <c r="Q17" s="23">
        <f t="shared" si="13"/>
        <v>6165.182887006069</v>
      </c>
      <c r="R17" s="23">
        <f t="shared" si="14"/>
        <v>145000</v>
      </c>
      <c r="S17" s="25">
        <f t="shared" si="15"/>
        <v>1100</v>
      </c>
    </row>
    <row r="18" spans="1:19" x14ac:dyDescent="0.25">
      <c r="A18" t="s">
        <v>62</v>
      </c>
      <c r="B18" s="58">
        <v>44197</v>
      </c>
      <c r="C18" s="22">
        <f t="shared" si="3"/>
        <v>6</v>
      </c>
      <c r="D18" s="23">
        <f t="shared" si="4"/>
        <v>78222.242642724887</v>
      </c>
      <c r="E18" s="23">
        <f t="shared" si="0"/>
        <v>244.44450825851524</v>
      </c>
      <c r="F18" s="23">
        <f t="shared" si="1"/>
        <v>292.76957796515296</v>
      </c>
      <c r="G18" s="52">
        <f t="shared" si="2"/>
        <v>338.33333333333331</v>
      </c>
      <c r="H18" s="23">
        <f t="shared" si="5"/>
        <v>0</v>
      </c>
      <c r="I18" s="24"/>
      <c r="J18" s="23">
        <f t="shared" si="6"/>
        <v>13.916666666666666</v>
      </c>
      <c r="K18" s="23">
        <f t="shared" si="7"/>
        <v>292.76957796515296</v>
      </c>
      <c r="L18" s="23">
        <f t="shared" si="8"/>
        <v>77929.473064759732</v>
      </c>
      <c r="M18" s="23">
        <f t="shared" si="9"/>
        <v>889.46408622366823</v>
      </c>
      <c r="N18" s="23">
        <f t="shared" si="10"/>
        <v>276</v>
      </c>
      <c r="O18" s="23">
        <f t="shared" si="11"/>
        <v>0</v>
      </c>
      <c r="P18" s="23">
        <f t="shared" si="17"/>
        <v>1165.4640862236683</v>
      </c>
      <c r="Q18" s="23">
        <f t="shared" si="13"/>
        <v>1148.6945082585153</v>
      </c>
      <c r="R18" s="23">
        <f t="shared" si="14"/>
        <v>145000</v>
      </c>
      <c r="S18" s="25">
        <f t="shared" si="15"/>
        <v>1100</v>
      </c>
    </row>
    <row r="19" spans="1:19" x14ac:dyDescent="0.25">
      <c r="A19" t="s">
        <v>63</v>
      </c>
      <c r="B19" s="58">
        <v>44228</v>
      </c>
      <c r="C19" s="22">
        <f t="shared" si="3"/>
        <v>7</v>
      </c>
      <c r="D19" s="23">
        <f t="shared" si="4"/>
        <v>77929.473064759732</v>
      </c>
      <c r="E19" s="23">
        <f t="shared" si="0"/>
        <v>243.52960332737413</v>
      </c>
      <c r="F19" s="23">
        <f t="shared" si="1"/>
        <v>293.68448289629407</v>
      </c>
      <c r="G19" s="52">
        <f t="shared" si="2"/>
        <v>338.33333333333331</v>
      </c>
      <c r="H19" s="23">
        <f t="shared" si="5"/>
        <v>0</v>
      </c>
      <c r="I19" s="24"/>
      <c r="J19" s="23">
        <f t="shared" si="6"/>
        <v>13.916666666666666</v>
      </c>
      <c r="K19" s="23">
        <f t="shared" si="7"/>
        <v>293.68448289629407</v>
      </c>
      <c r="L19" s="23">
        <f t="shared" si="8"/>
        <v>77635.788581863439</v>
      </c>
      <c r="M19" s="23">
        <f t="shared" si="9"/>
        <v>889.46408622366823</v>
      </c>
      <c r="N19" s="23">
        <f t="shared" si="10"/>
        <v>276</v>
      </c>
      <c r="O19" s="23">
        <f t="shared" si="11"/>
        <v>0</v>
      </c>
      <c r="P19" s="23">
        <f t="shared" si="17"/>
        <v>1165.4640862236683</v>
      </c>
      <c r="Q19" s="23">
        <f t="shared" si="13"/>
        <v>1147.7796033273744</v>
      </c>
      <c r="R19" s="23">
        <f t="shared" si="14"/>
        <v>145000</v>
      </c>
      <c r="S19" s="25">
        <f t="shared" si="15"/>
        <v>1100</v>
      </c>
    </row>
    <row r="20" spans="1:19" x14ac:dyDescent="0.25">
      <c r="A20" t="s">
        <v>64</v>
      </c>
      <c r="B20" s="58">
        <v>44256</v>
      </c>
      <c r="C20" s="22">
        <f t="shared" si="3"/>
        <v>8</v>
      </c>
      <c r="D20" s="23">
        <f t="shared" si="4"/>
        <v>77635.788581863439</v>
      </c>
      <c r="E20" s="23">
        <f t="shared" si="0"/>
        <v>242.61183931832323</v>
      </c>
      <c r="F20" s="23">
        <f t="shared" si="1"/>
        <v>294.602246905345</v>
      </c>
      <c r="G20" s="52">
        <f t="shared" si="2"/>
        <v>338.33333333333331</v>
      </c>
      <c r="H20" s="23">
        <f t="shared" si="5"/>
        <v>0</v>
      </c>
      <c r="I20" s="24"/>
      <c r="J20" s="23">
        <f t="shared" si="6"/>
        <v>13.916666666666666</v>
      </c>
      <c r="K20" s="23">
        <f t="shared" si="7"/>
        <v>294.602246905345</v>
      </c>
      <c r="L20" s="23">
        <f t="shared" si="8"/>
        <v>77341.186334958096</v>
      </c>
      <c r="M20" s="23">
        <f t="shared" si="9"/>
        <v>889.46408622366835</v>
      </c>
      <c r="N20" s="23">
        <f t="shared" si="10"/>
        <v>276</v>
      </c>
      <c r="O20" s="23">
        <f t="shared" si="11"/>
        <v>0</v>
      </c>
      <c r="P20" s="23">
        <f t="shared" si="17"/>
        <v>1165.4640862236683</v>
      </c>
      <c r="Q20" s="23">
        <f t="shared" si="13"/>
        <v>1146.8618393183233</v>
      </c>
      <c r="R20" s="23">
        <f t="shared" si="14"/>
        <v>145000</v>
      </c>
      <c r="S20" s="25">
        <f t="shared" si="15"/>
        <v>1100</v>
      </c>
    </row>
    <row r="21" spans="1:19" x14ac:dyDescent="0.25">
      <c r="A21" t="s">
        <v>65</v>
      </c>
      <c r="B21" s="58">
        <v>44287</v>
      </c>
      <c r="C21" s="22">
        <f t="shared" si="3"/>
        <v>9</v>
      </c>
      <c r="D21" s="23">
        <f t="shared" si="4"/>
        <v>77341.186334958096</v>
      </c>
      <c r="E21" s="23">
        <f t="shared" si="0"/>
        <v>241.69120729674404</v>
      </c>
      <c r="F21" s="23">
        <f t="shared" si="1"/>
        <v>295.52287892692419</v>
      </c>
      <c r="G21" s="52">
        <f t="shared" si="2"/>
        <v>338.33333333333331</v>
      </c>
      <c r="H21" s="23">
        <f t="shared" si="5"/>
        <v>0</v>
      </c>
      <c r="I21" s="24"/>
      <c r="J21" s="23">
        <f t="shared" si="6"/>
        <v>13.916666666666666</v>
      </c>
      <c r="K21" s="23">
        <f t="shared" si="7"/>
        <v>295.52287892692419</v>
      </c>
      <c r="L21" s="23">
        <f t="shared" si="8"/>
        <v>77045.663456031165</v>
      </c>
      <c r="M21" s="23">
        <f t="shared" si="9"/>
        <v>889.46408622366835</v>
      </c>
      <c r="N21" s="23">
        <f t="shared" si="10"/>
        <v>276</v>
      </c>
      <c r="O21" s="23">
        <f t="shared" si="11"/>
        <v>0</v>
      </c>
      <c r="P21" s="23">
        <f t="shared" si="17"/>
        <v>1165.4640862236683</v>
      </c>
      <c r="Q21" s="23">
        <f t="shared" si="13"/>
        <v>1145.9412072967441</v>
      </c>
      <c r="R21" s="23">
        <f t="shared" si="14"/>
        <v>145000</v>
      </c>
      <c r="S21" s="25">
        <f t="shared" si="15"/>
        <v>1100</v>
      </c>
    </row>
    <row r="22" spans="1:19" x14ac:dyDescent="0.25">
      <c r="A22" t="s">
        <v>66</v>
      </c>
      <c r="B22" s="58">
        <v>44317</v>
      </c>
      <c r="C22" s="22">
        <f t="shared" si="3"/>
        <v>10</v>
      </c>
      <c r="D22" s="23">
        <f t="shared" si="4"/>
        <v>77045.663456031165</v>
      </c>
      <c r="E22" s="23">
        <f t="shared" si="0"/>
        <v>240.76769830009738</v>
      </c>
      <c r="F22" s="23">
        <f t="shared" si="1"/>
        <v>296.44638792357085</v>
      </c>
      <c r="G22" s="52">
        <f t="shared" si="2"/>
        <v>338.33333333333331</v>
      </c>
      <c r="H22" s="23">
        <f t="shared" si="5"/>
        <v>0</v>
      </c>
      <c r="I22" s="24"/>
      <c r="J22" s="23">
        <f t="shared" si="6"/>
        <v>13.916666666666666</v>
      </c>
      <c r="K22" s="23">
        <f t="shared" si="7"/>
        <v>296.44638792357085</v>
      </c>
      <c r="L22" s="23">
        <f t="shared" si="8"/>
        <v>76749.217068107595</v>
      </c>
      <c r="M22" s="23">
        <f t="shared" si="9"/>
        <v>889.46408622366835</v>
      </c>
      <c r="N22" s="23">
        <f t="shared" si="10"/>
        <v>276</v>
      </c>
      <c r="O22" s="23">
        <f t="shared" si="11"/>
        <v>0</v>
      </c>
      <c r="P22" s="23">
        <f t="shared" si="17"/>
        <v>1165.4640862236683</v>
      </c>
      <c r="Q22" s="23">
        <f t="shared" si="13"/>
        <v>1145.0176983000974</v>
      </c>
      <c r="R22" s="23">
        <f t="shared" si="14"/>
        <v>145000</v>
      </c>
      <c r="S22" s="25">
        <f t="shared" si="15"/>
        <v>1100</v>
      </c>
    </row>
    <row r="23" spans="1:19" x14ac:dyDescent="0.25">
      <c r="A23" t="s">
        <v>67</v>
      </c>
      <c r="B23" s="58">
        <v>44348</v>
      </c>
      <c r="C23" s="22">
        <f t="shared" si="3"/>
        <v>11</v>
      </c>
      <c r="D23" s="23">
        <f t="shared" si="4"/>
        <v>76749.217068107595</v>
      </c>
      <c r="E23" s="23">
        <f t="shared" si="0"/>
        <v>239.84130333783622</v>
      </c>
      <c r="F23" s="23">
        <f t="shared" si="1"/>
        <v>297.37278288583201</v>
      </c>
      <c r="G23" s="52">
        <f t="shared" si="2"/>
        <v>338.33333333333331</v>
      </c>
      <c r="H23" s="23">
        <f t="shared" si="5"/>
        <v>0</v>
      </c>
      <c r="I23" s="24"/>
      <c r="J23" s="23">
        <f t="shared" si="6"/>
        <v>13.916666666666666</v>
      </c>
      <c r="K23" s="23">
        <f t="shared" si="7"/>
        <v>297.37278288583201</v>
      </c>
      <c r="L23" s="23">
        <f t="shared" si="8"/>
        <v>76451.844285221756</v>
      </c>
      <c r="M23" s="23">
        <f t="shared" si="9"/>
        <v>889.46408622366835</v>
      </c>
      <c r="N23" s="23">
        <f t="shared" si="10"/>
        <v>276</v>
      </c>
      <c r="O23" s="23">
        <f t="shared" si="11"/>
        <v>0</v>
      </c>
      <c r="P23" s="23">
        <f t="shared" si="17"/>
        <v>1165.4640862236683</v>
      </c>
      <c r="Q23" s="23">
        <f t="shared" si="13"/>
        <v>1144.0913033378363</v>
      </c>
      <c r="R23" s="23">
        <f t="shared" si="14"/>
        <v>145000</v>
      </c>
      <c r="S23" s="25">
        <f t="shared" si="15"/>
        <v>1100</v>
      </c>
    </row>
    <row r="24" spans="1:19" x14ac:dyDescent="0.25">
      <c r="A24" t="s">
        <v>68</v>
      </c>
      <c r="B24" s="58">
        <v>44378</v>
      </c>
      <c r="C24" s="22">
        <f t="shared" si="3"/>
        <v>12</v>
      </c>
      <c r="D24" s="23">
        <f t="shared" si="4"/>
        <v>76451.844285221756</v>
      </c>
      <c r="E24" s="23">
        <f t="shared" si="0"/>
        <v>238.91201339131797</v>
      </c>
      <c r="F24" s="23">
        <f t="shared" si="1"/>
        <v>298.30207283235029</v>
      </c>
      <c r="G24" s="52">
        <f t="shared" si="2"/>
        <v>338.33333333333331</v>
      </c>
      <c r="H24" s="23">
        <f t="shared" si="5"/>
        <v>0</v>
      </c>
      <c r="I24" s="24"/>
      <c r="J24" s="23">
        <f t="shared" si="6"/>
        <v>13.916666666666666</v>
      </c>
      <c r="K24" s="23">
        <f t="shared" si="7"/>
        <v>298.30207283235029</v>
      </c>
      <c r="L24" s="23">
        <f t="shared" si="8"/>
        <v>76153.54221238941</v>
      </c>
      <c r="M24" s="23">
        <f t="shared" si="9"/>
        <v>889.46408622366823</v>
      </c>
      <c r="N24" s="23">
        <f t="shared" si="10"/>
        <v>276</v>
      </c>
      <c r="O24" s="23">
        <f t="shared" si="11"/>
        <v>0</v>
      </c>
      <c r="P24" s="23">
        <f t="shared" si="17"/>
        <v>1165.4640862236683</v>
      </c>
      <c r="Q24" s="23">
        <f t="shared" si="13"/>
        <v>1143.1620133913179</v>
      </c>
      <c r="R24" s="23">
        <f t="shared" si="14"/>
        <v>145000</v>
      </c>
      <c r="S24" s="25">
        <f t="shared" si="15"/>
        <v>1100</v>
      </c>
    </row>
    <row r="25" spans="1:19" x14ac:dyDescent="0.25">
      <c r="A25" t="s">
        <v>69</v>
      </c>
      <c r="B25" s="58">
        <v>44409</v>
      </c>
      <c r="C25" s="22">
        <f t="shared" si="3"/>
        <v>13</v>
      </c>
      <c r="D25" s="23">
        <f t="shared" si="4"/>
        <v>76153.54221238941</v>
      </c>
      <c r="E25" s="23">
        <f t="shared" si="0"/>
        <v>237.97981941371688</v>
      </c>
      <c r="F25" s="23">
        <f t="shared" si="1"/>
        <v>299.23426680995135</v>
      </c>
      <c r="G25" s="52">
        <f t="shared" si="2"/>
        <v>338.33333333333331</v>
      </c>
      <c r="H25" s="23">
        <f t="shared" si="5"/>
        <v>0</v>
      </c>
      <c r="I25" s="24"/>
      <c r="J25" s="23">
        <f t="shared" si="6"/>
        <v>13.916666666666666</v>
      </c>
      <c r="K25" s="23">
        <f t="shared" si="7"/>
        <v>299.23426680995135</v>
      </c>
      <c r="L25" s="23">
        <f t="shared" si="8"/>
        <v>75854.307945579465</v>
      </c>
      <c r="M25" s="23">
        <f t="shared" si="9"/>
        <v>889.46408622366823</v>
      </c>
      <c r="N25" s="23">
        <f t="shared" si="10"/>
        <v>276</v>
      </c>
      <c r="O25" s="23">
        <f t="shared" si="11"/>
        <v>0</v>
      </c>
      <c r="P25" s="23">
        <f t="shared" si="17"/>
        <v>1165.4640862236683</v>
      </c>
      <c r="Q25" s="23">
        <f t="shared" si="13"/>
        <v>1142.229819413717</v>
      </c>
      <c r="R25" s="23">
        <f t="shared" ref="R25:R36" si="18">$R$24 + $R$24*$M$8</f>
        <v>149350</v>
      </c>
      <c r="S25" s="25">
        <f t="shared" ref="S25:S36" si="19">$S$24 + ($S$24 * $T$5)</f>
        <v>1133</v>
      </c>
    </row>
    <row r="26" spans="1:19" x14ac:dyDescent="0.25">
      <c r="A26" t="s">
        <v>70</v>
      </c>
      <c r="B26" s="58">
        <v>44440</v>
      </c>
      <c r="C26" s="22">
        <f t="shared" si="3"/>
        <v>14</v>
      </c>
      <c r="D26" s="23">
        <f t="shared" si="4"/>
        <v>75854.307945579465</v>
      </c>
      <c r="E26" s="23">
        <f t="shared" si="0"/>
        <v>237.04471232993581</v>
      </c>
      <c r="F26" s="23">
        <f t="shared" si="1"/>
        <v>300.16937389373243</v>
      </c>
      <c r="G26" s="52">
        <f t="shared" si="2"/>
        <v>338.33333333333331</v>
      </c>
      <c r="H26" s="23">
        <f t="shared" si="5"/>
        <v>0</v>
      </c>
      <c r="I26" s="24"/>
      <c r="J26" s="23">
        <f t="shared" si="6"/>
        <v>13.916666666666666</v>
      </c>
      <c r="K26" s="23">
        <f t="shared" si="7"/>
        <v>300.16937389373243</v>
      </c>
      <c r="L26" s="23">
        <f t="shared" si="8"/>
        <v>75554.138571685733</v>
      </c>
      <c r="M26" s="23">
        <f t="shared" si="9"/>
        <v>889.46408622366823</v>
      </c>
      <c r="N26" s="23">
        <f t="shared" si="10"/>
        <v>276</v>
      </c>
      <c r="O26" s="23">
        <f t="shared" si="11"/>
        <v>0</v>
      </c>
      <c r="P26" s="23">
        <f t="shared" si="17"/>
        <v>1165.4640862236683</v>
      </c>
      <c r="Q26" s="23">
        <f t="shared" si="13"/>
        <v>1141.2947123299359</v>
      </c>
      <c r="R26" s="23">
        <f t="shared" si="18"/>
        <v>149350</v>
      </c>
      <c r="S26" s="25">
        <f t="shared" si="19"/>
        <v>1133</v>
      </c>
    </row>
    <row r="27" spans="1:19" x14ac:dyDescent="0.25">
      <c r="A27" t="s">
        <v>71</v>
      </c>
      <c r="B27" s="58">
        <v>44470</v>
      </c>
      <c r="C27" s="22">
        <f t="shared" si="3"/>
        <v>15</v>
      </c>
      <c r="D27" s="23">
        <f t="shared" si="4"/>
        <v>75554.138571685733</v>
      </c>
      <c r="E27" s="23">
        <f t="shared" si="0"/>
        <v>236.10668303651789</v>
      </c>
      <c r="F27" s="23">
        <f t="shared" si="1"/>
        <v>301.10740318715034</v>
      </c>
      <c r="G27" s="52">
        <f t="shared" si="2"/>
        <v>338.33333333333331</v>
      </c>
      <c r="H27" s="23">
        <f t="shared" si="5"/>
        <v>0</v>
      </c>
      <c r="I27" s="24"/>
      <c r="J27" s="23">
        <f t="shared" si="6"/>
        <v>13.916666666666666</v>
      </c>
      <c r="K27" s="23">
        <f t="shared" si="7"/>
        <v>301.10740318715034</v>
      </c>
      <c r="L27" s="23">
        <f t="shared" si="8"/>
        <v>75253.031168498579</v>
      </c>
      <c r="M27" s="23">
        <f t="shared" si="9"/>
        <v>889.46408622366823</v>
      </c>
      <c r="N27" s="23">
        <f t="shared" si="10"/>
        <v>276</v>
      </c>
      <c r="O27" s="23">
        <f t="shared" si="11"/>
        <v>0</v>
      </c>
      <c r="P27" s="23">
        <f t="shared" si="17"/>
        <v>1165.4640862236683</v>
      </c>
      <c r="Q27" s="23">
        <f t="shared" si="13"/>
        <v>1140.356683036518</v>
      </c>
      <c r="R27" s="23">
        <f t="shared" si="18"/>
        <v>149350</v>
      </c>
      <c r="S27" s="25">
        <f t="shared" si="19"/>
        <v>1133</v>
      </c>
    </row>
    <row r="28" spans="1:19" x14ac:dyDescent="0.25">
      <c r="A28" t="s">
        <v>72</v>
      </c>
      <c r="B28" s="58">
        <v>44501</v>
      </c>
      <c r="C28" s="22">
        <f t="shared" si="3"/>
        <v>16</v>
      </c>
      <c r="D28" s="23">
        <f t="shared" si="4"/>
        <v>75253.031168498579</v>
      </c>
      <c r="E28" s="23">
        <f t="shared" si="0"/>
        <v>235.16572240155804</v>
      </c>
      <c r="F28" s="23">
        <f t="shared" si="1"/>
        <v>302.04836382211022</v>
      </c>
      <c r="G28" s="52">
        <f t="shared" si="2"/>
        <v>338.33333333333331</v>
      </c>
      <c r="H28" s="23">
        <f t="shared" si="5"/>
        <v>0</v>
      </c>
      <c r="I28" s="24"/>
      <c r="J28" s="23">
        <f t="shared" si="6"/>
        <v>13.916666666666666</v>
      </c>
      <c r="K28" s="23">
        <f t="shared" si="7"/>
        <v>302.04836382211022</v>
      </c>
      <c r="L28" s="23">
        <f t="shared" si="8"/>
        <v>74950.982804676474</v>
      </c>
      <c r="M28" s="23">
        <f t="shared" si="9"/>
        <v>889.46408622366823</v>
      </c>
      <c r="N28" s="23">
        <f t="shared" si="10"/>
        <v>276</v>
      </c>
      <c r="O28" s="23">
        <f t="shared" si="11"/>
        <v>0</v>
      </c>
      <c r="P28" s="23">
        <f t="shared" si="17"/>
        <v>1165.4640862236683</v>
      </c>
      <c r="Q28" s="23">
        <f t="shared" si="13"/>
        <v>1139.415722401558</v>
      </c>
      <c r="R28" s="23">
        <f t="shared" si="18"/>
        <v>149350</v>
      </c>
      <c r="S28" s="25">
        <f t="shared" si="19"/>
        <v>1133</v>
      </c>
    </row>
    <row r="29" spans="1:19" x14ac:dyDescent="0.25">
      <c r="A29" t="s">
        <v>73</v>
      </c>
      <c r="B29" s="58">
        <v>44531</v>
      </c>
      <c r="C29" s="22">
        <f t="shared" si="3"/>
        <v>17</v>
      </c>
      <c r="D29" s="23">
        <f t="shared" si="4"/>
        <v>74950.982804676474</v>
      </c>
      <c r="E29" s="23">
        <f t="shared" si="0"/>
        <v>234.22182126461396</v>
      </c>
      <c r="F29" s="23">
        <f t="shared" si="1"/>
        <v>302.9922649590543</v>
      </c>
      <c r="G29" s="52">
        <f t="shared" si="2"/>
        <v>338.33333333333331</v>
      </c>
      <c r="H29" s="23">
        <f t="shared" si="5"/>
        <v>0</v>
      </c>
      <c r="I29" s="24"/>
      <c r="J29" s="23">
        <f t="shared" si="6"/>
        <v>13.916666666666666</v>
      </c>
      <c r="K29" s="23">
        <f t="shared" si="7"/>
        <v>302.9922649590543</v>
      </c>
      <c r="L29" s="23">
        <f t="shared" si="8"/>
        <v>74647.990539717415</v>
      </c>
      <c r="M29" s="23">
        <f t="shared" si="9"/>
        <v>889.46408622366823</v>
      </c>
      <c r="N29" s="23">
        <f t="shared" si="10"/>
        <v>276</v>
      </c>
      <c r="O29" s="23">
        <f t="shared" si="11"/>
        <v>0</v>
      </c>
      <c r="P29" s="23">
        <f t="shared" si="17"/>
        <v>1165.4640862236683</v>
      </c>
      <c r="Q29" s="23">
        <f t="shared" si="13"/>
        <v>1138.4718212646139</v>
      </c>
      <c r="R29" s="23">
        <f t="shared" si="18"/>
        <v>149350</v>
      </c>
      <c r="S29" s="25">
        <f t="shared" si="19"/>
        <v>1133</v>
      </c>
    </row>
    <row r="30" spans="1:19" x14ac:dyDescent="0.25">
      <c r="A30" t="s">
        <v>74</v>
      </c>
      <c r="B30" s="58">
        <v>44562</v>
      </c>
      <c r="C30" s="22">
        <f t="shared" si="3"/>
        <v>18</v>
      </c>
      <c r="D30" s="23">
        <f t="shared" si="4"/>
        <v>74647.990539717415</v>
      </c>
      <c r="E30" s="23">
        <f t="shared" si="0"/>
        <v>233.27497043661691</v>
      </c>
      <c r="F30" s="23">
        <f t="shared" si="1"/>
        <v>303.93911578705132</v>
      </c>
      <c r="G30" s="52">
        <f t="shared" si="2"/>
        <v>338.33333333333331</v>
      </c>
      <c r="H30" s="23">
        <f t="shared" si="5"/>
        <v>0</v>
      </c>
      <c r="I30" s="24"/>
      <c r="J30" s="23">
        <f t="shared" si="6"/>
        <v>13.916666666666666</v>
      </c>
      <c r="K30" s="23">
        <f t="shared" si="7"/>
        <v>303.93911578705132</v>
      </c>
      <c r="L30" s="23">
        <f t="shared" si="8"/>
        <v>74344.051423930359</v>
      </c>
      <c r="M30" s="23">
        <f t="shared" si="9"/>
        <v>889.46408622366835</v>
      </c>
      <c r="N30" s="23">
        <f t="shared" si="10"/>
        <v>276</v>
      </c>
      <c r="O30" s="23">
        <f t="shared" si="11"/>
        <v>0</v>
      </c>
      <c r="P30" s="23">
        <f t="shared" si="17"/>
        <v>1165.4640862236683</v>
      </c>
      <c r="Q30" s="23">
        <f t="shared" si="13"/>
        <v>1137.524970436617</v>
      </c>
      <c r="R30" s="23">
        <f t="shared" si="18"/>
        <v>149350</v>
      </c>
      <c r="S30" s="25">
        <f t="shared" si="19"/>
        <v>1133</v>
      </c>
    </row>
    <row r="31" spans="1:19" x14ac:dyDescent="0.25">
      <c r="A31" t="s">
        <v>75</v>
      </c>
      <c r="B31" s="58">
        <v>44593</v>
      </c>
      <c r="C31" s="22">
        <f t="shared" si="3"/>
        <v>19</v>
      </c>
      <c r="D31" s="23">
        <f t="shared" si="4"/>
        <v>74344.051423930359</v>
      </c>
      <c r="E31" s="23">
        <f t="shared" si="0"/>
        <v>232.32516069978234</v>
      </c>
      <c r="F31" s="23">
        <f t="shared" si="1"/>
        <v>304.88892552388586</v>
      </c>
      <c r="G31" s="52">
        <f t="shared" si="2"/>
        <v>338.33333333333331</v>
      </c>
      <c r="H31" s="23">
        <f t="shared" si="5"/>
        <v>0</v>
      </c>
      <c r="I31" s="24"/>
      <c r="J31" s="23">
        <f t="shared" si="6"/>
        <v>13.916666666666666</v>
      </c>
      <c r="K31" s="23">
        <f t="shared" si="7"/>
        <v>304.88892552388586</v>
      </c>
      <c r="L31" s="23">
        <f t="shared" si="8"/>
        <v>74039.162498406469</v>
      </c>
      <c r="M31" s="23">
        <f t="shared" si="9"/>
        <v>889.46408622366823</v>
      </c>
      <c r="N31" s="23">
        <f t="shared" si="10"/>
        <v>276</v>
      </c>
      <c r="O31" s="23">
        <f t="shared" si="11"/>
        <v>0</v>
      </c>
      <c r="P31" s="23">
        <f t="shared" si="17"/>
        <v>1165.4640862236683</v>
      </c>
      <c r="Q31" s="23">
        <f t="shared" si="13"/>
        <v>1136.5751606997824</v>
      </c>
      <c r="R31" s="23">
        <f t="shared" si="18"/>
        <v>149350</v>
      </c>
      <c r="S31" s="25">
        <f t="shared" si="19"/>
        <v>1133</v>
      </c>
    </row>
    <row r="32" spans="1:19" x14ac:dyDescent="0.25">
      <c r="A32" t="s">
        <v>76</v>
      </c>
      <c r="B32" s="58">
        <v>44621</v>
      </c>
      <c r="C32" s="22">
        <f t="shared" si="3"/>
        <v>20</v>
      </c>
      <c r="D32" s="23">
        <f t="shared" si="4"/>
        <v>74039.162498406469</v>
      </c>
      <c r="E32" s="23">
        <f t="shared" si="0"/>
        <v>231.37238280752021</v>
      </c>
      <c r="F32" s="23">
        <f t="shared" si="1"/>
        <v>305.84170341614799</v>
      </c>
      <c r="G32" s="52">
        <f t="shared" si="2"/>
        <v>338.33333333333331</v>
      </c>
      <c r="H32" s="23">
        <f t="shared" si="5"/>
        <v>0</v>
      </c>
      <c r="I32" s="24"/>
      <c r="J32" s="23">
        <f t="shared" si="6"/>
        <v>13.916666666666666</v>
      </c>
      <c r="K32" s="23">
        <f t="shared" si="7"/>
        <v>305.84170341614799</v>
      </c>
      <c r="L32" s="23">
        <f t="shared" si="8"/>
        <v>73733.320794990315</v>
      </c>
      <c r="M32" s="23">
        <f t="shared" si="9"/>
        <v>889.46408622366823</v>
      </c>
      <c r="N32" s="23">
        <f t="shared" si="10"/>
        <v>276</v>
      </c>
      <c r="O32" s="23">
        <f t="shared" si="11"/>
        <v>0</v>
      </c>
      <c r="P32" s="23">
        <f t="shared" si="17"/>
        <v>1165.4640862236683</v>
      </c>
      <c r="Q32" s="23">
        <f t="shared" si="13"/>
        <v>1135.6223828075204</v>
      </c>
      <c r="R32" s="23">
        <f t="shared" si="18"/>
        <v>149350</v>
      </c>
      <c r="S32" s="25">
        <f t="shared" si="19"/>
        <v>1133</v>
      </c>
    </row>
    <row r="33" spans="1:19" x14ac:dyDescent="0.25">
      <c r="A33" t="s">
        <v>77</v>
      </c>
      <c r="B33" s="58">
        <v>44652</v>
      </c>
      <c r="C33" s="22">
        <f t="shared" si="3"/>
        <v>21</v>
      </c>
      <c r="D33" s="23">
        <f t="shared" si="4"/>
        <v>73733.320794990315</v>
      </c>
      <c r="E33" s="23">
        <f t="shared" si="0"/>
        <v>230.41662748434473</v>
      </c>
      <c r="F33" s="23">
        <f t="shared" si="1"/>
        <v>306.79745873932347</v>
      </c>
      <c r="G33" s="52">
        <f t="shared" si="2"/>
        <v>338.33333333333331</v>
      </c>
      <c r="H33" s="23">
        <f t="shared" si="5"/>
        <v>0</v>
      </c>
      <c r="I33" s="24"/>
      <c r="J33" s="23">
        <f t="shared" si="6"/>
        <v>13.916666666666666</v>
      </c>
      <c r="K33" s="23">
        <f t="shared" si="7"/>
        <v>306.79745873932347</v>
      </c>
      <c r="L33" s="23">
        <f t="shared" si="8"/>
        <v>73426.52333625099</v>
      </c>
      <c r="M33" s="23">
        <f t="shared" si="9"/>
        <v>889.46408622366823</v>
      </c>
      <c r="N33" s="23">
        <f t="shared" si="10"/>
        <v>276</v>
      </c>
      <c r="O33" s="23">
        <f t="shared" si="11"/>
        <v>0</v>
      </c>
      <c r="P33" s="23">
        <f t="shared" si="17"/>
        <v>1165.4640862236683</v>
      </c>
      <c r="Q33" s="23">
        <f t="shared" si="13"/>
        <v>1134.6666274843449</v>
      </c>
      <c r="R33" s="23">
        <f t="shared" si="18"/>
        <v>149350</v>
      </c>
      <c r="S33" s="25">
        <f t="shared" si="19"/>
        <v>1133</v>
      </c>
    </row>
    <row r="34" spans="1:19" x14ac:dyDescent="0.25">
      <c r="A34" t="s">
        <v>78</v>
      </c>
      <c r="B34" s="58">
        <v>44682</v>
      </c>
      <c r="C34" s="22">
        <f t="shared" si="3"/>
        <v>22</v>
      </c>
      <c r="D34" s="23">
        <f t="shared" si="4"/>
        <v>73426.52333625099</v>
      </c>
      <c r="E34" s="23">
        <f t="shared" si="0"/>
        <v>229.45788542578433</v>
      </c>
      <c r="F34" s="23">
        <f t="shared" si="1"/>
        <v>307.75620079788393</v>
      </c>
      <c r="G34" s="52">
        <f t="shared" si="2"/>
        <v>338.33333333333331</v>
      </c>
      <c r="H34" s="23">
        <f t="shared" si="5"/>
        <v>0</v>
      </c>
      <c r="I34" s="24"/>
      <c r="J34" s="23">
        <f t="shared" si="6"/>
        <v>13.916666666666666</v>
      </c>
      <c r="K34" s="23">
        <f t="shared" si="7"/>
        <v>307.75620079788393</v>
      </c>
      <c r="L34" s="23">
        <f t="shared" si="8"/>
        <v>73118.767135453105</v>
      </c>
      <c r="M34" s="23">
        <f t="shared" si="9"/>
        <v>889.46408622366823</v>
      </c>
      <c r="N34" s="23">
        <f t="shared" si="10"/>
        <v>276</v>
      </c>
      <c r="O34" s="23">
        <f t="shared" si="11"/>
        <v>0</v>
      </c>
      <c r="P34" s="23">
        <f t="shared" si="17"/>
        <v>1165.4640862236683</v>
      </c>
      <c r="Q34" s="23">
        <f t="shared" si="13"/>
        <v>1133.7078854257843</v>
      </c>
      <c r="R34" s="23">
        <f t="shared" si="18"/>
        <v>149350</v>
      </c>
      <c r="S34" s="25">
        <f t="shared" si="19"/>
        <v>1133</v>
      </c>
    </row>
    <row r="35" spans="1:19" x14ac:dyDescent="0.25">
      <c r="A35" t="s">
        <v>79</v>
      </c>
      <c r="B35" s="58">
        <v>44713</v>
      </c>
      <c r="C35" s="22">
        <f t="shared" si="3"/>
        <v>23</v>
      </c>
      <c r="D35" s="23">
        <f t="shared" si="4"/>
        <v>73118.767135453105</v>
      </c>
      <c r="E35" s="23">
        <f t="shared" si="0"/>
        <v>228.49614729829094</v>
      </c>
      <c r="F35" s="23">
        <f t="shared" si="1"/>
        <v>308.71793892537733</v>
      </c>
      <c r="G35" s="52">
        <f t="shared" si="2"/>
        <v>338.33333333333331</v>
      </c>
      <c r="H35" s="23">
        <f t="shared" si="5"/>
        <v>0</v>
      </c>
      <c r="I35" s="24"/>
      <c r="J35" s="23">
        <f t="shared" si="6"/>
        <v>13.916666666666666</v>
      </c>
      <c r="K35" s="23">
        <f t="shared" si="7"/>
        <v>308.71793892537733</v>
      </c>
      <c r="L35" s="23">
        <f t="shared" si="8"/>
        <v>72810.049196527732</v>
      </c>
      <c r="M35" s="23">
        <f t="shared" si="9"/>
        <v>889.46408622366823</v>
      </c>
      <c r="N35" s="23">
        <f t="shared" si="10"/>
        <v>276</v>
      </c>
      <c r="O35" s="23">
        <f t="shared" si="11"/>
        <v>0</v>
      </c>
      <c r="P35" s="23">
        <f t="shared" si="17"/>
        <v>1165.4640862236683</v>
      </c>
      <c r="Q35" s="23">
        <f t="shared" si="13"/>
        <v>1132.7461472982909</v>
      </c>
      <c r="R35" s="23">
        <f t="shared" si="18"/>
        <v>149350</v>
      </c>
      <c r="S35" s="25">
        <f t="shared" si="19"/>
        <v>1133</v>
      </c>
    </row>
    <row r="36" spans="1:19" x14ac:dyDescent="0.25">
      <c r="A36" t="s">
        <v>80</v>
      </c>
      <c r="B36" s="58">
        <v>44743</v>
      </c>
      <c r="C36" s="22">
        <f t="shared" si="3"/>
        <v>24</v>
      </c>
      <c r="D36" s="23">
        <f t="shared" si="4"/>
        <v>72810.049196527732</v>
      </c>
      <c r="E36" s="23">
        <f t="shared" si="0"/>
        <v>227.53140373914914</v>
      </c>
      <c r="F36" s="23">
        <f t="shared" si="1"/>
        <v>309.68268248451909</v>
      </c>
      <c r="G36" s="52">
        <f t="shared" si="2"/>
        <v>338.33333333333331</v>
      </c>
      <c r="H36" s="23">
        <f t="shared" si="5"/>
        <v>0</v>
      </c>
      <c r="I36" s="24"/>
      <c r="J36" s="23">
        <f t="shared" si="6"/>
        <v>13.916666666666666</v>
      </c>
      <c r="K36" s="23">
        <f t="shared" si="7"/>
        <v>309.68268248451909</v>
      </c>
      <c r="L36" s="23">
        <f t="shared" si="8"/>
        <v>72500.366514043213</v>
      </c>
      <c r="M36" s="23">
        <f t="shared" si="9"/>
        <v>889.46408622366823</v>
      </c>
      <c r="N36" s="23">
        <f t="shared" si="10"/>
        <v>276</v>
      </c>
      <c r="O36" s="23">
        <f t="shared" si="11"/>
        <v>0</v>
      </c>
      <c r="P36" s="23">
        <f t="shared" si="17"/>
        <v>1165.4640862236683</v>
      </c>
      <c r="Q36" s="23">
        <f t="shared" si="13"/>
        <v>1131.7814037391493</v>
      </c>
      <c r="R36" s="23">
        <f t="shared" si="18"/>
        <v>149350</v>
      </c>
      <c r="S36" s="25">
        <f t="shared" si="19"/>
        <v>1133</v>
      </c>
    </row>
    <row r="37" spans="1:19" x14ac:dyDescent="0.25">
      <c r="A37" t="s">
        <v>81</v>
      </c>
      <c r="B37" s="58">
        <v>44774</v>
      </c>
      <c r="C37" s="22">
        <f t="shared" si="3"/>
        <v>25</v>
      </c>
      <c r="D37" s="23">
        <f t="shared" si="4"/>
        <v>72500.366514043213</v>
      </c>
      <c r="E37" s="23">
        <f t="shared" si="0"/>
        <v>226.56364535638502</v>
      </c>
      <c r="F37" s="23">
        <f t="shared" si="1"/>
        <v>310.65044086728324</v>
      </c>
      <c r="G37" s="52">
        <f t="shared" si="2"/>
        <v>338.33333333333331</v>
      </c>
      <c r="H37" s="23">
        <f t="shared" si="5"/>
        <v>0</v>
      </c>
      <c r="I37" s="24"/>
      <c r="J37" s="23">
        <f t="shared" si="6"/>
        <v>13.916666666666666</v>
      </c>
      <c r="K37" s="23">
        <f t="shared" si="7"/>
        <v>310.65044086728324</v>
      </c>
      <c r="L37" s="23">
        <f t="shared" si="8"/>
        <v>72189.716073175936</v>
      </c>
      <c r="M37" s="23">
        <f t="shared" si="9"/>
        <v>889.46408622366823</v>
      </c>
      <c r="N37" s="23">
        <f t="shared" si="10"/>
        <v>276</v>
      </c>
      <c r="O37" s="23">
        <f t="shared" si="11"/>
        <v>0</v>
      </c>
      <c r="P37" s="23">
        <f t="shared" si="17"/>
        <v>1165.4640862236683</v>
      </c>
      <c r="Q37" s="23">
        <f t="shared" si="13"/>
        <v>1130.8136453563852</v>
      </c>
      <c r="R37" s="23">
        <f t="shared" ref="R37:R48" si="20">$R$36 + $R$36*$M$8</f>
        <v>153830.5</v>
      </c>
      <c r="S37" s="25">
        <f t="shared" ref="S37:S48" si="21">$S$36 + ($S$36 * $T$5)</f>
        <v>1166.99</v>
      </c>
    </row>
    <row r="38" spans="1:19" x14ac:dyDescent="0.25">
      <c r="A38" t="s">
        <v>82</v>
      </c>
      <c r="B38" s="58">
        <v>44805</v>
      </c>
      <c r="C38" s="22">
        <f t="shared" si="3"/>
        <v>26</v>
      </c>
      <c r="D38" s="23">
        <f t="shared" si="4"/>
        <v>72189.716073175936</v>
      </c>
      <c r="E38" s="23">
        <f t="shared" si="0"/>
        <v>225.59286272867479</v>
      </c>
      <c r="F38" s="23">
        <f t="shared" si="1"/>
        <v>311.62122349499344</v>
      </c>
      <c r="G38" s="52">
        <f t="shared" si="2"/>
        <v>338.33333333333331</v>
      </c>
      <c r="H38" s="23">
        <f t="shared" si="5"/>
        <v>0</v>
      </c>
      <c r="I38" s="24"/>
      <c r="J38" s="23">
        <f t="shared" si="6"/>
        <v>13.916666666666666</v>
      </c>
      <c r="K38" s="23">
        <f t="shared" si="7"/>
        <v>311.62122349499344</v>
      </c>
      <c r="L38" s="23">
        <f t="shared" si="8"/>
        <v>71878.094849680943</v>
      </c>
      <c r="M38" s="23">
        <f t="shared" si="9"/>
        <v>889.46408622366835</v>
      </c>
      <c r="N38" s="23">
        <f t="shared" si="10"/>
        <v>276</v>
      </c>
      <c r="O38" s="23">
        <f t="shared" si="11"/>
        <v>0</v>
      </c>
      <c r="P38" s="23">
        <f t="shared" si="17"/>
        <v>1165.4640862236683</v>
      </c>
      <c r="Q38" s="23">
        <f t="shared" si="13"/>
        <v>1129.8428627286748</v>
      </c>
      <c r="R38" s="23">
        <f t="shared" si="20"/>
        <v>153830.5</v>
      </c>
      <c r="S38" s="25">
        <f t="shared" si="21"/>
        <v>1166.99</v>
      </c>
    </row>
    <row r="39" spans="1:19" x14ac:dyDescent="0.25">
      <c r="A39" t="s">
        <v>83</v>
      </c>
      <c r="B39" s="58">
        <v>44835</v>
      </c>
      <c r="C39" s="22">
        <f t="shared" si="3"/>
        <v>27</v>
      </c>
      <c r="D39" s="23">
        <f t="shared" si="4"/>
        <v>71878.094849680943</v>
      </c>
      <c r="E39" s="23">
        <f t="shared" si="0"/>
        <v>224.61904640525293</v>
      </c>
      <c r="F39" s="23">
        <f t="shared" si="1"/>
        <v>312.59503981841533</v>
      </c>
      <c r="G39" s="52">
        <f t="shared" si="2"/>
        <v>338.33333333333331</v>
      </c>
      <c r="H39" s="23">
        <f t="shared" si="5"/>
        <v>0</v>
      </c>
      <c r="I39" s="24"/>
      <c r="J39" s="23">
        <f t="shared" si="6"/>
        <v>13.916666666666666</v>
      </c>
      <c r="K39" s="23">
        <f t="shared" si="7"/>
        <v>312.59503981841533</v>
      </c>
      <c r="L39" s="23">
        <f t="shared" si="8"/>
        <v>71565.499809862522</v>
      </c>
      <c r="M39" s="23">
        <f t="shared" si="9"/>
        <v>889.46408622366823</v>
      </c>
      <c r="N39" s="23">
        <f t="shared" si="10"/>
        <v>276</v>
      </c>
      <c r="O39" s="23">
        <f t="shared" si="11"/>
        <v>0</v>
      </c>
      <c r="P39" s="23">
        <f t="shared" si="17"/>
        <v>1165.4640862236683</v>
      </c>
      <c r="Q39" s="23">
        <f t="shared" si="13"/>
        <v>1128.8690464052529</v>
      </c>
      <c r="R39" s="23">
        <f t="shared" si="20"/>
        <v>153830.5</v>
      </c>
      <c r="S39" s="25">
        <f t="shared" si="21"/>
        <v>1166.99</v>
      </c>
    </row>
    <row r="40" spans="1:19" x14ac:dyDescent="0.25">
      <c r="A40" t="s">
        <v>84</v>
      </c>
      <c r="B40" s="58">
        <v>44866</v>
      </c>
      <c r="C40" s="22">
        <f t="shared" si="3"/>
        <v>28</v>
      </c>
      <c r="D40" s="23">
        <f t="shared" si="4"/>
        <v>71565.499809862522</v>
      </c>
      <c r="E40" s="23">
        <f t="shared" si="0"/>
        <v>223.64218690582035</v>
      </c>
      <c r="F40" s="23">
        <f t="shared" si="1"/>
        <v>313.57189931784785</v>
      </c>
      <c r="G40" s="52">
        <f t="shared" si="2"/>
        <v>338.33333333333331</v>
      </c>
      <c r="H40" s="23">
        <f t="shared" si="5"/>
        <v>0</v>
      </c>
      <c r="I40" s="24"/>
      <c r="J40" s="23">
        <f t="shared" si="6"/>
        <v>13.916666666666666</v>
      </c>
      <c r="K40" s="23">
        <f t="shared" si="7"/>
        <v>313.57189931784785</v>
      </c>
      <c r="L40" s="23">
        <f t="shared" si="8"/>
        <v>71251.927910544677</v>
      </c>
      <c r="M40" s="23">
        <f t="shared" si="9"/>
        <v>889.46408622366823</v>
      </c>
      <c r="N40" s="23">
        <f t="shared" si="10"/>
        <v>276</v>
      </c>
      <c r="O40" s="23">
        <f t="shared" si="11"/>
        <v>0</v>
      </c>
      <c r="P40" s="23">
        <f t="shared" si="17"/>
        <v>1165.4640862236683</v>
      </c>
      <c r="Q40" s="23">
        <f t="shared" si="13"/>
        <v>1127.8921869058204</v>
      </c>
      <c r="R40" s="23">
        <f t="shared" si="20"/>
        <v>153830.5</v>
      </c>
      <c r="S40" s="25">
        <f t="shared" si="21"/>
        <v>1166.99</v>
      </c>
    </row>
    <row r="41" spans="1:19" x14ac:dyDescent="0.25">
      <c r="A41" t="s">
        <v>85</v>
      </c>
      <c r="B41" s="58">
        <v>44896</v>
      </c>
      <c r="C41" s="22">
        <f t="shared" si="3"/>
        <v>29</v>
      </c>
      <c r="D41" s="23">
        <f t="shared" si="4"/>
        <v>71251.927910544677</v>
      </c>
      <c r="E41" s="23">
        <f t="shared" si="0"/>
        <v>222.6622747204521</v>
      </c>
      <c r="F41" s="23">
        <f t="shared" si="1"/>
        <v>314.55181150321613</v>
      </c>
      <c r="G41" s="52">
        <f t="shared" si="2"/>
        <v>338.33333333333331</v>
      </c>
      <c r="H41" s="23">
        <f t="shared" si="5"/>
        <v>0</v>
      </c>
      <c r="I41" s="24"/>
      <c r="J41" s="23">
        <f t="shared" si="6"/>
        <v>13.916666666666666</v>
      </c>
      <c r="K41" s="23">
        <f t="shared" si="7"/>
        <v>314.55181150321613</v>
      </c>
      <c r="L41" s="23">
        <f t="shared" si="8"/>
        <v>70937.376099041459</v>
      </c>
      <c r="M41" s="23">
        <f t="shared" si="9"/>
        <v>889.46408622366835</v>
      </c>
      <c r="N41" s="23">
        <f t="shared" si="10"/>
        <v>276</v>
      </c>
      <c r="O41" s="23">
        <f t="shared" si="11"/>
        <v>0</v>
      </c>
      <c r="P41" s="23">
        <f t="shared" si="17"/>
        <v>1165.4640862236683</v>
      </c>
      <c r="Q41" s="23">
        <f t="shared" si="13"/>
        <v>1126.9122747204522</v>
      </c>
      <c r="R41" s="23">
        <f t="shared" si="20"/>
        <v>153830.5</v>
      </c>
      <c r="S41" s="25">
        <f t="shared" si="21"/>
        <v>1166.99</v>
      </c>
    </row>
    <row r="42" spans="1:19" x14ac:dyDescent="0.25">
      <c r="A42" t="s">
        <v>86</v>
      </c>
      <c r="B42" s="58">
        <v>44927</v>
      </c>
      <c r="C42" s="22">
        <f t="shared" si="3"/>
        <v>30</v>
      </c>
      <c r="D42" s="23">
        <f t="shared" si="4"/>
        <v>70937.376099041459</v>
      </c>
      <c r="E42" s="23">
        <f t="shared" si="0"/>
        <v>221.67930030950455</v>
      </c>
      <c r="F42" s="23">
        <f t="shared" si="1"/>
        <v>315.53478591416365</v>
      </c>
      <c r="G42" s="52">
        <f t="shared" si="2"/>
        <v>338.33333333333331</v>
      </c>
      <c r="H42" s="23">
        <f t="shared" si="5"/>
        <v>0</v>
      </c>
      <c r="I42" s="24"/>
      <c r="J42" s="23">
        <f t="shared" si="6"/>
        <v>13.916666666666666</v>
      </c>
      <c r="K42" s="23">
        <f t="shared" si="7"/>
        <v>315.53478591416365</v>
      </c>
      <c r="L42" s="23">
        <f t="shared" si="8"/>
        <v>70621.841313127297</v>
      </c>
      <c r="M42" s="23">
        <f t="shared" si="9"/>
        <v>889.46408622366823</v>
      </c>
      <c r="N42" s="23">
        <f t="shared" si="10"/>
        <v>276</v>
      </c>
      <c r="O42" s="23">
        <f t="shared" si="11"/>
        <v>0</v>
      </c>
      <c r="P42" s="23">
        <f t="shared" si="17"/>
        <v>1165.4640862236683</v>
      </c>
      <c r="Q42" s="23">
        <f t="shared" si="13"/>
        <v>1125.9293003095047</v>
      </c>
      <c r="R42" s="23">
        <f t="shared" si="20"/>
        <v>153830.5</v>
      </c>
      <c r="S42" s="25">
        <f t="shared" si="21"/>
        <v>1166.99</v>
      </c>
    </row>
    <row r="43" spans="1:19" x14ac:dyDescent="0.25">
      <c r="A43" t="s">
        <v>87</v>
      </c>
      <c r="B43" s="58">
        <v>44958</v>
      </c>
      <c r="C43" s="22">
        <f t="shared" si="3"/>
        <v>31</v>
      </c>
      <c r="D43" s="23">
        <f t="shared" si="4"/>
        <v>70621.841313127297</v>
      </c>
      <c r="E43" s="23">
        <f t="shared" si="0"/>
        <v>220.69325410352278</v>
      </c>
      <c r="F43" s="23">
        <f t="shared" si="1"/>
        <v>316.52083212014543</v>
      </c>
      <c r="G43" s="52">
        <f t="shared" si="2"/>
        <v>338.33333333333331</v>
      </c>
      <c r="H43" s="23">
        <f t="shared" si="5"/>
        <v>0</v>
      </c>
      <c r="I43" s="24"/>
      <c r="J43" s="23">
        <f t="shared" si="6"/>
        <v>13.916666666666666</v>
      </c>
      <c r="K43" s="23">
        <f t="shared" si="7"/>
        <v>316.52083212014543</v>
      </c>
      <c r="L43" s="23">
        <f t="shared" si="8"/>
        <v>70305.320481007147</v>
      </c>
      <c r="M43" s="23">
        <f t="shared" si="9"/>
        <v>889.46408622366823</v>
      </c>
      <c r="N43" s="23">
        <f t="shared" si="10"/>
        <v>276</v>
      </c>
      <c r="O43" s="23">
        <f t="shared" si="11"/>
        <v>0</v>
      </c>
      <c r="P43" s="23">
        <f t="shared" si="17"/>
        <v>1165.4640862236683</v>
      </c>
      <c r="Q43" s="23">
        <f t="shared" si="13"/>
        <v>1124.943254103523</v>
      </c>
      <c r="R43" s="23">
        <f t="shared" si="20"/>
        <v>153830.5</v>
      </c>
      <c r="S43" s="25">
        <f t="shared" si="21"/>
        <v>1166.99</v>
      </c>
    </row>
    <row r="44" spans="1:19" x14ac:dyDescent="0.25">
      <c r="A44" t="s">
        <v>88</v>
      </c>
      <c r="B44" s="58">
        <v>44986</v>
      </c>
      <c r="C44" s="22">
        <f t="shared" si="3"/>
        <v>32</v>
      </c>
      <c r="D44" s="23">
        <f t="shared" si="4"/>
        <v>70305.320481007147</v>
      </c>
      <c r="E44" s="23">
        <f t="shared" si="0"/>
        <v>219.70412650314731</v>
      </c>
      <c r="F44" s="23">
        <f t="shared" si="1"/>
        <v>317.5099597205209</v>
      </c>
      <c r="G44" s="52">
        <f t="shared" si="2"/>
        <v>338.33333333333331</v>
      </c>
      <c r="H44" s="23">
        <f t="shared" si="5"/>
        <v>0</v>
      </c>
      <c r="I44" s="24"/>
      <c r="J44" s="23">
        <f t="shared" si="6"/>
        <v>13.916666666666666</v>
      </c>
      <c r="K44" s="23">
        <f t="shared" si="7"/>
        <v>317.5099597205209</v>
      </c>
      <c r="L44" s="23">
        <f t="shared" si="8"/>
        <v>69987.810521286621</v>
      </c>
      <c r="M44" s="23">
        <f t="shared" si="9"/>
        <v>889.46408622366823</v>
      </c>
      <c r="N44" s="23">
        <f t="shared" si="10"/>
        <v>276</v>
      </c>
      <c r="O44" s="23">
        <f t="shared" si="11"/>
        <v>0</v>
      </c>
      <c r="P44" s="23">
        <f t="shared" si="17"/>
        <v>1165.4640862236683</v>
      </c>
      <c r="Q44" s="23">
        <f t="shared" si="13"/>
        <v>1123.9541265031476</v>
      </c>
      <c r="R44" s="23">
        <f t="shared" si="20"/>
        <v>153830.5</v>
      </c>
      <c r="S44" s="25">
        <f t="shared" si="21"/>
        <v>1166.99</v>
      </c>
    </row>
    <row r="45" spans="1:19" x14ac:dyDescent="0.25">
      <c r="A45" t="s">
        <v>89</v>
      </c>
      <c r="B45" s="58">
        <v>45017</v>
      </c>
      <c r="C45" s="22">
        <f t="shared" si="3"/>
        <v>33</v>
      </c>
      <c r="D45" s="23">
        <f t="shared" si="4"/>
        <v>69987.810521286621</v>
      </c>
      <c r="E45" s="23">
        <f t="shared" si="0"/>
        <v>218.71190787902069</v>
      </c>
      <c r="F45" s="23">
        <f t="shared" si="1"/>
        <v>318.50217834464752</v>
      </c>
      <c r="G45" s="52">
        <f t="shared" si="2"/>
        <v>338.33333333333331</v>
      </c>
      <c r="H45" s="23">
        <f t="shared" si="5"/>
        <v>0</v>
      </c>
      <c r="I45" s="24"/>
      <c r="J45" s="23">
        <f t="shared" si="6"/>
        <v>13.916666666666666</v>
      </c>
      <c r="K45" s="23">
        <f t="shared" si="7"/>
        <v>318.50217834464752</v>
      </c>
      <c r="L45" s="23">
        <f t="shared" si="8"/>
        <v>69669.308342941978</v>
      </c>
      <c r="M45" s="23">
        <f t="shared" si="9"/>
        <v>889.46408622366823</v>
      </c>
      <c r="N45" s="23">
        <f t="shared" si="10"/>
        <v>276</v>
      </c>
      <c r="O45" s="23">
        <f t="shared" si="11"/>
        <v>0</v>
      </c>
      <c r="P45" s="23">
        <f t="shared" si="17"/>
        <v>1165.4640862236683</v>
      </c>
      <c r="Q45" s="23">
        <f t="shared" si="13"/>
        <v>1122.9619078790208</v>
      </c>
      <c r="R45" s="23">
        <f t="shared" si="20"/>
        <v>153830.5</v>
      </c>
      <c r="S45" s="25">
        <f t="shared" si="21"/>
        <v>1166.99</v>
      </c>
    </row>
    <row r="46" spans="1:19" x14ac:dyDescent="0.25">
      <c r="A46" t="s">
        <v>90</v>
      </c>
      <c r="B46" s="58">
        <v>45047</v>
      </c>
      <c r="C46" s="22">
        <f t="shared" si="3"/>
        <v>34</v>
      </c>
      <c r="D46" s="23">
        <f t="shared" si="4"/>
        <v>69669.308342941978</v>
      </c>
      <c r="E46" s="23">
        <f t="shared" si="0"/>
        <v>217.71658857169368</v>
      </c>
      <c r="F46" s="23">
        <f t="shared" si="1"/>
        <v>319.49749765197453</v>
      </c>
      <c r="G46" s="52">
        <f t="shared" si="2"/>
        <v>338.33333333333331</v>
      </c>
      <c r="H46" s="23">
        <f t="shared" si="5"/>
        <v>0</v>
      </c>
      <c r="I46" s="24"/>
      <c r="J46" s="23">
        <f t="shared" si="6"/>
        <v>13.916666666666666</v>
      </c>
      <c r="K46" s="23">
        <f t="shared" si="7"/>
        <v>319.49749765197453</v>
      </c>
      <c r="L46" s="23">
        <f t="shared" si="8"/>
        <v>69349.810845290005</v>
      </c>
      <c r="M46" s="23">
        <f t="shared" si="9"/>
        <v>889.46408622366823</v>
      </c>
      <c r="N46" s="23">
        <f t="shared" si="10"/>
        <v>276</v>
      </c>
      <c r="O46" s="23">
        <f t="shared" si="11"/>
        <v>0</v>
      </c>
      <c r="P46" s="23">
        <f t="shared" si="17"/>
        <v>1165.4640862236683</v>
      </c>
      <c r="Q46" s="23">
        <f t="shared" si="13"/>
        <v>1121.9665885716938</v>
      </c>
      <c r="R46" s="23">
        <f t="shared" si="20"/>
        <v>153830.5</v>
      </c>
      <c r="S46" s="25">
        <f t="shared" si="21"/>
        <v>1166.99</v>
      </c>
    </row>
    <row r="47" spans="1:19" x14ac:dyDescent="0.25">
      <c r="A47" t="s">
        <v>91</v>
      </c>
      <c r="B47" s="58">
        <v>45078</v>
      </c>
      <c r="C47" s="22">
        <f t="shared" si="3"/>
        <v>35</v>
      </c>
      <c r="D47" s="23">
        <f t="shared" si="4"/>
        <v>69349.810845290005</v>
      </c>
      <c r="E47" s="23">
        <f t="shared" si="0"/>
        <v>216.71815889153126</v>
      </c>
      <c r="F47" s="23">
        <f t="shared" si="1"/>
        <v>320.49592733213694</v>
      </c>
      <c r="G47" s="52">
        <f t="shared" si="2"/>
        <v>338.33333333333331</v>
      </c>
      <c r="H47" s="23">
        <f t="shared" si="5"/>
        <v>0</v>
      </c>
      <c r="I47" s="24"/>
      <c r="J47" s="23">
        <f t="shared" si="6"/>
        <v>13.916666666666666</v>
      </c>
      <c r="K47" s="23">
        <f t="shared" si="7"/>
        <v>320.49592733213694</v>
      </c>
      <c r="L47" s="23">
        <f t="shared" si="8"/>
        <v>69029.314917957861</v>
      </c>
      <c r="M47" s="23">
        <f t="shared" si="9"/>
        <v>889.46408622366823</v>
      </c>
      <c r="N47" s="23">
        <f t="shared" si="10"/>
        <v>276</v>
      </c>
      <c r="O47" s="23">
        <f t="shared" si="11"/>
        <v>0</v>
      </c>
      <c r="P47" s="23">
        <f t="shared" si="17"/>
        <v>1165.4640862236683</v>
      </c>
      <c r="Q47" s="23">
        <f t="shared" si="13"/>
        <v>1120.9681588915314</v>
      </c>
      <c r="R47" s="23">
        <f t="shared" si="20"/>
        <v>153830.5</v>
      </c>
      <c r="S47" s="25">
        <f t="shared" si="21"/>
        <v>1166.99</v>
      </c>
    </row>
    <row r="48" spans="1:19" x14ac:dyDescent="0.25">
      <c r="A48" t="s">
        <v>92</v>
      </c>
      <c r="B48" s="58">
        <v>45108</v>
      </c>
      <c r="C48" s="22">
        <f t="shared" si="3"/>
        <v>36</v>
      </c>
      <c r="D48" s="23">
        <f t="shared" si="4"/>
        <v>69029.314917957861</v>
      </c>
      <c r="E48" s="23">
        <f t="shared" si="0"/>
        <v>215.71660911861829</v>
      </c>
      <c r="F48" s="23">
        <f t="shared" si="1"/>
        <v>321.49747710504994</v>
      </c>
      <c r="G48" s="52">
        <f t="shared" si="2"/>
        <v>338.33333333333331</v>
      </c>
      <c r="H48" s="23">
        <f t="shared" si="5"/>
        <v>0</v>
      </c>
      <c r="I48" s="24"/>
      <c r="J48" s="23">
        <f t="shared" si="6"/>
        <v>13.916666666666666</v>
      </c>
      <c r="K48" s="23">
        <f t="shared" si="7"/>
        <v>321.49747710504994</v>
      </c>
      <c r="L48" s="23">
        <f t="shared" si="8"/>
        <v>68707.817440852814</v>
      </c>
      <c r="M48" s="23">
        <f t="shared" si="9"/>
        <v>889.46408622366823</v>
      </c>
      <c r="N48" s="23">
        <f t="shared" si="10"/>
        <v>276</v>
      </c>
      <c r="O48" s="23">
        <f t="shared" si="11"/>
        <v>0</v>
      </c>
      <c r="P48" s="23">
        <f t="shared" si="17"/>
        <v>1165.4640862236683</v>
      </c>
      <c r="Q48" s="23">
        <f t="shared" si="13"/>
        <v>1119.9666091186184</v>
      </c>
      <c r="R48" s="23">
        <f t="shared" si="20"/>
        <v>153830.5</v>
      </c>
      <c r="S48" s="25">
        <f t="shared" si="21"/>
        <v>1166.99</v>
      </c>
    </row>
    <row r="49" spans="1:19" x14ac:dyDescent="0.25">
      <c r="A49" t="s">
        <v>93</v>
      </c>
      <c r="B49" s="58">
        <v>45139</v>
      </c>
      <c r="C49" s="22">
        <f t="shared" si="3"/>
        <v>37</v>
      </c>
      <c r="D49" s="23">
        <f t="shared" si="4"/>
        <v>68707.817440852814</v>
      </c>
      <c r="E49" s="23">
        <f t="shared" si="0"/>
        <v>214.71192950266501</v>
      </c>
      <c r="F49" s="23">
        <f t="shared" si="1"/>
        <v>322.50215672100319</v>
      </c>
      <c r="G49" s="52">
        <f t="shared" si="2"/>
        <v>338.33333333333331</v>
      </c>
      <c r="H49" s="23">
        <f t="shared" si="5"/>
        <v>0</v>
      </c>
      <c r="I49" s="24"/>
      <c r="J49" s="23">
        <f t="shared" si="6"/>
        <v>13.916666666666666</v>
      </c>
      <c r="K49" s="23">
        <f t="shared" si="7"/>
        <v>322.50215672100319</v>
      </c>
      <c r="L49" s="23">
        <f t="shared" si="8"/>
        <v>68385.315284131808</v>
      </c>
      <c r="M49" s="23">
        <f t="shared" si="9"/>
        <v>889.46408622366823</v>
      </c>
      <c r="N49" s="23">
        <f t="shared" si="10"/>
        <v>276</v>
      </c>
      <c r="O49" s="23">
        <f t="shared" si="11"/>
        <v>0</v>
      </c>
      <c r="P49" s="23">
        <f t="shared" si="17"/>
        <v>1165.4640862236683</v>
      </c>
      <c r="Q49" s="23">
        <f t="shared" si="13"/>
        <v>1118.961929502665</v>
      </c>
      <c r="R49" s="23">
        <f t="shared" ref="R49:R60" si="22">$R$48+ $R$48*$M$8</f>
        <v>158445.41500000001</v>
      </c>
      <c r="S49" s="25">
        <f t="shared" ref="S49:S60" si="23">$S$48 + ($S$48 * $T$5)</f>
        <v>1201.9997000000001</v>
      </c>
    </row>
    <row r="50" spans="1:19" x14ac:dyDescent="0.25">
      <c r="A50" t="s">
        <v>94</v>
      </c>
      <c r="B50" s="58">
        <v>45170</v>
      </c>
      <c r="C50" s="22">
        <f t="shared" si="3"/>
        <v>38</v>
      </c>
      <c r="D50" s="23">
        <f t="shared" si="4"/>
        <v>68385.315284131808</v>
      </c>
      <c r="E50" s="23">
        <f t="shared" si="0"/>
        <v>213.70411026291188</v>
      </c>
      <c r="F50" s="23">
        <f t="shared" si="1"/>
        <v>323.50997596075638</v>
      </c>
      <c r="G50" s="52">
        <f t="shared" si="2"/>
        <v>338.33333333333331</v>
      </c>
      <c r="H50" s="23">
        <f t="shared" si="5"/>
        <v>0</v>
      </c>
      <c r="I50" s="24"/>
      <c r="J50" s="23">
        <f t="shared" si="6"/>
        <v>13.916666666666666</v>
      </c>
      <c r="K50" s="23">
        <f t="shared" si="7"/>
        <v>323.50997596075638</v>
      </c>
      <c r="L50" s="23">
        <f t="shared" si="8"/>
        <v>68061.805308171053</v>
      </c>
      <c r="M50" s="23">
        <f t="shared" si="9"/>
        <v>889.46408622366823</v>
      </c>
      <c r="N50" s="23">
        <f t="shared" si="10"/>
        <v>276</v>
      </c>
      <c r="O50" s="23">
        <f t="shared" si="11"/>
        <v>0</v>
      </c>
      <c r="P50" s="23">
        <f t="shared" si="17"/>
        <v>1165.4640862236683</v>
      </c>
      <c r="Q50" s="23">
        <f t="shared" si="13"/>
        <v>1117.9541102629119</v>
      </c>
      <c r="R50" s="23">
        <f t="shared" si="22"/>
        <v>158445.41500000001</v>
      </c>
      <c r="S50" s="25">
        <f t="shared" si="23"/>
        <v>1201.9997000000001</v>
      </c>
    </row>
    <row r="51" spans="1:19" x14ac:dyDescent="0.25">
      <c r="A51" t="s">
        <v>95</v>
      </c>
      <c r="B51" s="58">
        <v>45200</v>
      </c>
      <c r="C51" s="22">
        <f t="shared" si="3"/>
        <v>39</v>
      </c>
      <c r="D51" s="23">
        <f t="shared" si="4"/>
        <v>68061.805308171053</v>
      </c>
      <c r="E51" s="23">
        <f t="shared" si="0"/>
        <v>212.69314158803454</v>
      </c>
      <c r="F51" s="23">
        <f t="shared" si="1"/>
        <v>324.52094463563367</v>
      </c>
      <c r="G51" s="52">
        <f t="shared" si="2"/>
        <v>338.33333333333331</v>
      </c>
      <c r="H51" s="23">
        <f t="shared" si="5"/>
        <v>0</v>
      </c>
      <c r="I51" s="24"/>
      <c r="J51" s="23">
        <f t="shared" si="6"/>
        <v>13.916666666666666</v>
      </c>
      <c r="K51" s="23">
        <f t="shared" si="7"/>
        <v>324.52094463563367</v>
      </c>
      <c r="L51" s="23">
        <f t="shared" si="8"/>
        <v>67737.284363535422</v>
      </c>
      <c r="M51" s="23">
        <f t="shared" si="9"/>
        <v>889.46408622366823</v>
      </c>
      <c r="N51" s="23">
        <f t="shared" si="10"/>
        <v>276</v>
      </c>
      <c r="O51" s="23">
        <f t="shared" si="11"/>
        <v>0</v>
      </c>
      <c r="P51" s="23">
        <f t="shared" si="17"/>
        <v>1165.4640862236683</v>
      </c>
      <c r="Q51" s="23">
        <f t="shared" si="13"/>
        <v>1116.9431415880347</v>
      </c>
      <c r="R51" s="23">
        <f t="shared" si="22"/>
        <v>158445.41500000001</v>
      </c>
      <c r="S51" s="25">
        <f t="shared" si="23"/>
        <v>1201.9997000000001</v>
      </c>
    </row>
    <row r="52" spans="1:19" x14ac:dyDescent="0.25">
      <c r="A52" t="s">
        <v>96</v>
      </c>
      <c r="B52" s="58">
        <v>45231</v>
      </c>
      <c r="C52" s="22">
        <f t="shared" si="3"/>
        <v>40</v>
      </c>
      <c r="D52" s="23">
        <f t="shared" si="4"/>
        <v>67737.284363535422</v>
      </c>
      <c r="E52" s="23">
        <f t="shared" si="0"/>
        <v>211.67901363604818</v>
      </c>
      <c r="F52" s="23">
        <f t="shared" si="1"/>
        <v>325.53507258762005</v>
      </c>
      <c r="G52" s="52">
        <f t="shared" si="2"/>
        <v>338.33333333333331</v>
      </c>
      <c r="H52" s="23">
        <f t="shared" si="5"/>
        <v>0</v>
      </c>
      <c r="I52" s="24"/>
      <c r="J52" s="23">
        <f t="shared" si="6"/>
        <v>13.916666666666666</v>
      </c>
      <c r="K52" s="23">
        <f t="shared" si="7"/>
        <v>325.53507258762005</v>
      </c>
      <c r="L52" s="23">
        <f t="shared" si="8"/>
        <v>67411.749290947802</v>
      </c>
      <c r="M52" s="23">
        <f t="shared" si="9"/>
        <v>889.46408622366835</v>
      </c>
      <c r="N52" s="23">
        <f t="shared" si="10"/>
        <v>276</v>
      </c>
      <c r="O52" s="23">
        <f t="shared" si="11"/>
        <v>0</v>
      </c>
      <c r="P52" s="23">
        <f t="shared" si="17"/>
        <v>1165.4640862236683</v>
      </c>
      <c r="Q52" s="23">
        <f t="shared" si="13"/>
        <v>1115.9290136360482</v>
      </c>
      <c r="R52" s="23">
        <f t="shared" si="22"/>
        <v>158445.41500000001</v>
      </c>
      <c r="S52" s="25">
        <f t="shared" si="23"/>
        <v>1201.9997000000001</v>
      </c>
    </row>
    <row r="53" spans="1:19" x14ac:dyDescent="0.25">
      <c r="A53" t="s">
        <v>97</v>
      </c>
      <c r="B53" s="58">
        <v>45261</v>
      </c>
      <c r="C53" s="22">
        <f t="shared" si="3"/>
        <v>41</v>
      </c>
      <c r="D53" s="23">
        <f t="shared" si="4"/>
        <v>67411.749290947802</v>
      </c>
      <c r="E53" s="23">
        <f t="shared" si="0"/>
        <v>210.66171653421188</v>
      </c>
      <c r="F53" s="23">
        <f t="shared" si="1"/>
        <v>326.55236968945633</v>
      </c>
      <c r="G53" s="52">
        <f t="shared" si="2"/>
        <v>338.33333333333331</v>
      </c>
      <c r="H53" s="23">
        <f t="shared" si="5"/>
        <v>0</v>
      </c>
      <c r="I53" s="24"/>
      <c r="J53" s="23">
        <f t="shared" si="6"/>
        <v>13.916666666666666</v>
      </c>
      <c r="K53" s="23">
        <f t="shared" si="7"/>
        <v>326.55236968945633</v>
      </c>
      <c r="L53" s="23">
        <f t="shared" si="8"/>
        <v>67085.19692125835</v>
      </c>
      <c r="M53" s="23">
        <f t="shared" si="9"/>
        <v>889.46408622366823</v>
      </c>
      <c r="N53" s="23">
        <f t="shared" si="10"/>
        <v>276</v>
      </c>
      <c r="O53" s="23">
        <f t="shared" si="11"/>
        <v>0</v>
      </c>
      <c r="P53" s="23">
        <f t="shared" si="17"/>
        <v>1165.4640862236683</v>
      </c>
      <c r="Q53" s="23">
        <f t="shared" si="13"/>
        <v>1114.911716534212</v>
      </c>
      <c r="R53" s="23">
        <f t="shared" si="22"/>
        <v>158445.41500000001</v>
      </c>
      <c r="S53" s="25">
        <f t="shared" si="23"/>
        <v>1201.9997000000001</v>
      </c>
    </row>
    <row r="54" spans="1:19" x14ac:dyDescent="0.25">
      <c r="A54" t="s">
        <v>98</v>
      </c>
      <c r="B54" s="58">
        <v>45292</v>
      </c>
      <c r="C54" s="22">
        <f t="shared" si="3"/>
        <v>42</v>
      </c>
      <c r="D54" s="23">
        <f t="shared" si="4"/>
        <v>67085.19692125835</v>
      </c>
      <c r="E54" s="23">
        <f t="shared" si="0"/>
        <v>209.64124037893234</v>
      </c>
      <c r="F54" s="23">
        <f t="shared" si="1"/>
        <v>327.57284584473587</v>
      </c>
      <c r="G54" s="52">
        <f t="shared" si="2"/>
        <v>338.33333333333331</v>
      </c>
      <c r="H54" s="23">
        <f t="shared" si="5"/>
        <v>0</v>
      </c>
      <c r="I54" s="24"/>
      <c r="J54" s="23">
        <f t="shared" si="6"/>
        <v>13.916666666666666</v>
      </c>
      <c r="K54" s="23">
        <f t="shared" si="7"/>
        <v>327.57284584473587</v>
      </c>
      <c r="L54" s="23">
        <f t="shared" si="8"/>
        <v>66757.624075413609</v>
      </c>
      <c r="M54" s="23">
        <f t="shared" si="9"/>
        <v>889.46408622366823</v>
      </c>
      <c r="N54" s="23">
        <f t="shared" si="10"/>
        <v>276</v>
      </c>
      <c r="O54" s="23">
        <f t="shared" si="11"/>
        <v>0</v>
      </c>
      <c r="P54" s="23">
        <f t="shared" si="17"/>
        <v>1165.4640862236683</v>
      </c>
      <c r="Q54" s="23">
        <f t="shared" si="13"/>
        <v>1113.8912403789325</v>
      </c>
      <c r="R54" s="23">
        <f t="shared" si="22"/>
        <v>158445.41500000001</v>
      </c>
      <c r="S54" s="25">
        <f t="shared" si="23"/>
        <v>1201.9997000000001</v>
      </c>
    </row>
    <row r="55" spans="1:19" x14ac:dyDescent="0.25">
      <c r="A55" t="s">
        <v>99</v>
      </c>
      <c r="B55" s="58">
        <v>45323</v>
      </c>
      <c r="C55" s="22">
        <f t="shared" si="3"/>
        <v>43</v>
      </c>
      <c r="D55" s="23">
        <f t="shared" si="4"/>
        <v>66757.624075413609</v>
      </c>
      <c r="E55" s="23">
        <f t="shared" si="0"/>
        <v>208.61757523566752</v>
      </c>
      <c r="F55" s="23">
        <f t="shared" si="1"/>
        <v>328.59651098800072</v>
      </c>
      <c r="G55" s="52">
        <f t="shared" si="2"/>
        <v>338.33333333333331</v>
      </c>
      <c r="H55" s="23">
        <f t="shared" si="5"/>
        <v>0</v>
      </c>
      <c r="I55" s="24"/>
      <c r="J55" s="23">
        <f t="shared" si="6"/>
        <v>13.916666666666666</v>
      </c>
      <c r="K55" s="23">
        <f t="shared" si="7"/>
        <v>328.59651098800072</v>
      </c>
      <c r="L55" s="23">
        <f t="shared" si="8"/>
        <v>66429.027564425603</v>
      </c>
      <c r="M55" s="23">
        <f t="shared" si="9"/>
        <v>889.46408622366835</v>
      </c>
      <c r="N55" s="23">
        <f t="shared" si="10"/>
        <v>276</v>
      </c>
      <c r="O55" s="23">
        <f t="shared" si="11"/>
        <v>0</v>
      </c>
      <c r="P55" s="23">
        <f t="shared" si="17"/>
        <v>1165.4640862236683</v>
      </c>
      <c r="Q55" s="23">
        <f t="shared" si="13"/>
        <v>1112.8675752356676</v>
      </c>
      <c r="R55" s="23">
        <f t="shared" si="22"/>
        <v>158445.41500000001</v>
      </c>
      <c r="S55" s="25">
        <f t="shared" si="23"/>
        <v>1201.9997000000001</v>
      </c>
    </row>
    <row r="56" spans="1:19" x14ac:dyDescent="0.25">
      <c r="A56" t="s">
        <v>100</v>
      </c>
      <c r="B56" s="58">
        <v>45352</v>
      </c>
      <c r="C56" s="22">
        <f t="shared" si="3"/>
        <v>44</v>
      </c>
      <c r="D56" s="23">
        <f t="shared" si="4"/>
        <v>66429.027564425603</v>
      </c>
      <c r="E56" s="23">
        <f t="shared" si="0"/>
        <v>207.59071113882999</v>
      </c>
      <c r="F56" s="23">
        <f t="shared" si="1"/>
        <v>329.62337508483824</v>
      </c>
      <c r="G56" s="52">
        <f t="shared" si="2"/>
        <v>338.33333333333331</v>
      </c>
      <c r="H56" s="23">
        <f t="shared" si="5"/>
        <v>0</v>
      </c>
      <c r="I56" s="24"/>
      <c r="J56" s="23">
        <f t="shared" si="6"/>
        <v>13.916666666666666</v>
      </c>
      <c r="K56" s="23">
        <f t="shared" si="7"/>
        <v>329.62337508483824</v>
      </c>
      <c r="L56" s="23">
        <f t="shared" si="8"/>
        <v>66099.40418934077</v>
      </c>
      <c r="M56" s="23">
        <f t="shared" si="9"/>
        <v>889.46408622366823</v>
      </c>
      <c r="N56" s="23">
        <f t="shared" si="10"/>
        <v>276</v>
      </c>
      <c r="O56" s="23">
        <f t="shared" si="11"/>
        <v>0</v>
      </c>
      <c r="P56" s="23">
        <f t="shared" si="17"/>
        <v>1165.4640862236683</v>
      </c>
      <c r="Q56" s="23">
        <f t="shared" si="13"/>
        <v>1111.8407111388301</v>
      </c>
      <c r="R56" s="23">
        <f t="shared" si="22"/>
        <v>158445.41500000001</v>
      </c>
      <c r="S56" s="25">
        <f t="shared" si="23"/>
        <v>1201.9997000000001</v>
      </c>
    </row>
    <row r="57" spans="1:19" x14ac:dyDescent="0.25">
      <c r="A57" t="s">
        <v>101</v>
      </c>
      <c r="B57" s="58">
        <v>45383</v>
      </c>
      <c r="C57" s="22">
        <f t="shared" si="3"/>
        <v>45</v>
      </c>
      <c r="D57" s="23">
        <f t="shared" si="4"/>
        <v>66099.40418934077</v>
      </c>
      <c r="E57" s="23">
        <f t="shared" si="0"/>
        <v>206.5606380916899</v>
      </c>
      <c r="F57" s="23">
        <f t="shared" si="1"/>
        <v>330.65344813197834</v>
      </c>
      <c r="G57" s="52">
        <f t="shared" si="2"/>
        <v>338.33333333333331</v>
      </c>
      <c r="H57" s="23">
        <f t="shared" si="5"/>
        <v>0</v>
      </c>
      <c r="I57" s="24"/>
      <c r="J57" s="23">
        <f t="shared" si="6"/>
        <v>13.916666666666666</v>
      </c>
      <c r="K57" s="23">
        <f t="shared" si="7"/>
        <v>330.65344813197834</v>
      </c>
      <c r="L57" s="23">
        <f t="shared" si="8"/>
        <v>65768.750741208787</v>
      </c>
      <c r="M57" s="23">
        <f t="shared" si="9"/>
        <v>889.46408622366835</v>
      </c>
      <c r="N57" s="23">
        <f t="shared" si="10"/>
        <v>276</v>
      </c>
      <c r="O57" s="23">
        <f t="shared" si="11"/>
        <v>0</v>
      </c>
      <c r="P57" s="23">
        <f t="shared" si="17"/>
        <v>1165.4640862236683</v>
      </c>
      <c r="Q57" s="23">
        <f t="shared" si="13"/>
        <v>1110.81063809169</v>
      </c>
      <c r="R57" s="23">
        <f t="shared" si="22"/>
        <v>158445.41500000001</v>
      </c>
      <c r="S57" s="25">
        <f t="shared" si="23"/>
        <v>1201.9997000000001</v>
      </c>
    </row>
    <row r="58" spans="1:19" x14ac:dyDescent="0.25">
      <c r="A58" t="s">
        <v>102</v>
      </c>
      <c r="B58" s="58">
        <v>45413</v>
      </c>
      <c r="C58" s="22">
        <f t="shared" si="3"/>
        <v>46</v>
      </c>
      <c r="D58" s="23">
        <f t="shared" si="4"/>
        <v>65768.750741208787</v>
      </c>
      <c r="E58" s="23">
        <f t="shared" si="0"/>
        <v>205.52734606627743</v>
      </c>
      <c r="F58" s="23">
        <f t="shared" si="1"/>
        <v>331.68674015739077</v>
      </c>
      <c r="G58" s="52">
        <f t="shared" si="2"/>
        <v>338.33333333333331</v>
      </c>
      <c r="H58" s="23">
        <f t="shared" si="5"/>
        <v>0</v>
      </c>
      <c r="I58" s="24"/>
      <c r="J58" s="23">
        <f t="shared" si="6"/>
        <v>13.916666666666666</v>
      </c>
      <c r="K58" s="23">
        <f t="shared" si="7"/>
        <v>331.68674015739077</v>
      </c>
      <c r="L58" s="23">
        <f t="shared" si="8"/>
        <v>65437.064001051396</v>
      </c>
      <c r="M58" s="23">
        <f t="shared" si="9"/>
        <v>889.46408622366823</v>
      </c>
      <c r="N58" s="23">
        <f t="shared" si="10"/>
        <v>276</v>
      </c>
      <c r="O58" s="23">
        <f t="shared" si="11"/>
        <v>0</v>
      </c>
      <c r="P58" s="23">
        <f t="shared" si="17"/>
        <v>1165.4640862236683</v>
      </c>
      <c r="Q58" s="23">
        <f t="shared" si="13"/>
        <v>1109.7773460662775</v>
      </c>
      <c r="R58" s="23">
        <f t="shared" si="22"/>
        <v>158445.41500000001</v>
      </c>
      <c r="S58" s="25">
        <f t="shared" si="23"/>
        <v>1201.9997000000001</v>
      </c>
    </row>
    <row r="59" spans="1:19" x14ac:dyDescent="0.25">
      <c r="A59" t="s">
        <v>103</v>
      </c>
      <c r="B59" s="58">
        <v>45444</v>
      </c>
      <c r="C59" s="22">
        <f t="shared" si="3"/>
        <v>47</v>
      </c>
      <c r="D59" s="23">
        <f t="shared" si="4"/>
        <v>65437.064001051396</v>
      </c>
      <c r="E59" s="23">
        <f t="shared" si="0"/>
        <v>204.49082500328561</v>
      </c>
      <c r="F59" s="23">
        <f t="shared" si="1"/>
        <v>332.7232612203826</v>
      </c>
      <c r="G59" s="52">
        <f t="shared" si="2"/>
        <v>338.33333333333331</v>
      </c>
      <c r="H59" s="23">
        <f t="shared" si="5"/>
        <v>0</v>
      </c>
      <c r="I59" s="24"/>
      <c r="J59" s="23">
        <f t="shared" si="6"/>
        <v>13.916666666666666</v>
      </c>
      <c r="K59" s="23">
        <f t="shared" si="7"/>
        <v>332.7232612203826</v>
      </c>
      <c r="L59" s="23">
        <f t="shared" si="8"/>
        <v>65104.340739831016</v>
      </c>
      <c r="M59" s="23">
        <f t="shared" si="9"/>
        <v>889.46408622366823</v>
      </c>
      <c r="N59" s="23">
        <f t="shared" si="10"/>
        <v>276</v>
      </c>
      <c r="O59" s="23">
        <f t="shared" si="11"/>
        <v>0</v>
      </c>
      <c r="P59" s="23">
        <f t="shared" si="17"/>
        <v>1165.4640862236683</v>
      </c>
      <c r="Q59" s="23">
        <f t="shared" si="13"/>
        <v>1108.7408250032859</v>
      </c>
      <c r="R59" s="23">
        <f t="shared" si="22"/>
        <v>158445.41500000001</v>
      </c>
      <c r="S59" s="25">
        <f t="shared" si="23"/>
        <v>1201.9997000000001</v>
      </c>
    </row>
    <row r="60" spans="1:19" x14ac:dyDescent="0.25">
      <c r="A60" t="s">
        <v>104</v>
      </c>
      <c r="B60" s="58">
        <v>45474</v>
      </c>
      <c r="C60" s="22">
        <f t="shared" si="3"/>
        <v>48</v>
      </c>
      <c r="D60" s="23">
        <f t="shared" si="4"/>
        <v>65104.340739831016</v>
      </c>
      <c r="E60" s="23">
        <f t="shared" si="0"/>
        <v>203.45106481197192</v>
      </c>
      <c r="F60" s="23">
        <f t="shared" si="1"/>
        <v>333.76302141169629</v>
      </c>
      <c r="G60" s="52">
        <f t="shared" si="2"/>
        <v>338.33333333333331</v>
      </c>
      <c r="H60" s="23">
        <f t="shared" si="5"/>
        <v>0</v>
      </c>
      <c r="I60" s="24"/>
      <c r="J60" s="23">
        <f t="shared" si="6"/>
        <v>13.916666666666666</v>
      </c>
      <c r="K60" s="23">
        <f t="shared" si="7"/>
        <v>333.76302141169629</v>
      </c>
      <c r="L60" s="23">
        <f t="shared" si="8"/>
        <v>64770.577718419321</v>
      </c>
      <c r="M60" s="23">
        <f t="shared" si="9"/>
        <v>889.46408622366823</v>
      </c>
      <c r="N60" s="23">
        <f t="shared" si="10"/>
        <v>276</v>
      </c>
      <c r="O60" s="23">
        <f t="shared" si="11"/>
        <v>0</v>
      </c>
      <c r="P60" s="23">
        <f t="shared" si="17"/>
        <v>1165.4640862236683</v>
      </c>
      <c r="Q60" s="23">
        <f t="shared" si="13"/>
        <v>1107.7010648119722</v>
      </c>
      <c r="R60" s="23">
        <f t="shared" si="22"/>
        <v>158445.41500000001</v>
      </c>
      <c r="S60" s="25">
        <f t="shared" si="23"/>
        <v>1201.9997000000001</v>
      </c>
    </row>
    <row r="61" spans="1:19" x14ac:dyDescent="0.25">
      <c r="A61" t="s">
        <v>105</v>
      </c>
      <c r="B61" s="58">
        <v>45505</v>
      </c>
      <c r="C61" s="22">
        <f t="shared" si="3"/>
        <v>49</v>
      </c>
      <c r="D61" s="23">
        <f t="shared" si="4"/>
        <v>64770.577718419321</v>
      </c>
      <c r="E61" s="23">
        <f t="shared" si="0"/>
        <v>202.40805537006037</v>
      </c>
      <c r="F61" s="23">
        <f t="shared" si="1"/>
        <v>334.80603085360787</v>
      </c>
      <c r="G61" s="52">
        <f t="shared" si="2"/>
        <v>338.33333333333331</v>
      </c>
      <c r="H61" s="23">
        <f t="shared" si="5"/>
        <v>0</v>
      </c>
      <c r="I61" s="24"/>
      <c r="J61" s="23">
        <f t="shared" si="6"/>
        <v>13.916666666666666</v>
      </c>
      <c r="K61" s="23">
        <f t="shared" si="7"/>
        <v>334.80603085360787</v>
      </c>
      <c r="L61" s="23">
        <f t="shared" si="8"/>
        <v>64435.771687565713</v>
      </c>
      <c r="M61" s="23">
        <f t="shared" si="9"/>
        <v>889.46408622366812</v>
      </c>
      <c r="N61" s="23">
        <f t="shared" si="10"/>
        <v>276</v>
      </c>
      <c r="O61" s="23">
        <f t="shared" si="11"/>
        <v>0</v>
      </c>
      <c r="P61" s="23">
        <f t="shared" si="17"/>
        <v>1165.4640862236681</v>
      </c>
      <c r="Q61" s="23">
        <f t="shared" si="13"/>
        <v>1106.6580553700603</v>
      </c>
      <c r="R61" s="23">
        <f t="shared" ref="R61:R72" si="24">$R$60+ $R$60*$M$8</f>
        <v>163198.77744999999</v>
      </c>
      <c r="S61" s="25">
        <f t="shared" ref="S61:S72" si="25">$S$60 + ($S$60 * $T$5)</f>
        <v>1238.0596910000002</v>
      </c>
    </row>
    <row r="62" spans="1:19" x14ac:dyDescent="0.25">
      <c r="A62" t="s">
        <v>106</v>
      </c>
      <c r="B62" s="58">
        <v>45536</v>
      </c>
      <c r="C62" s="22">
        <f t="shared" si="3"/>
        <v>50</v>
      </c>
      <c r="D62" s="23">
        <f t="shared" si="4"/>
        <v>64435.771687565713</v>
      </c>
      <c r="E62" s="23">
        <f t="shared" si="0"/>
        <v>201.36178652364285</v>
      </c>
      <c r="F62" s="23">
        <f t="shared" si="1"/>
        <v>335.85229970002536</v>
      </c>
      <c r="G62" s="52">
        <f t="shared" si="2"/>
        <v>338.33333333333331</v>
      </c>
      <c r="H62" s="23">
        <f t="shared" si="5"/>
        <v>0</v>
      </c>
      <c r="I62" s="24"/>
      <c r="J62" s="23">
        <f t="shared" si="6"/>
        <v>13.916666666666666</v>
      </c>
      <c r="K62" s="23">
        <f t="shared" si="7"/>
        <v>335.85229970002536</v>
      </c>
      <c r="L62" s="23">
        <f t="shared" si="8"/>
        <v>64099.919387865688</v>
      </c>
      <c r="M62" s="23">
        <f t="shared" si="9"/>
        <v>889.46408622366823</v>
      </c>
      <c r="N62" s="23">
        <f t="shared" si="10"/>
        <v>276</v>
      </c>
      <c r="O62" s="23">
        <f t="shared" si="11"/>
        <v>0</v>
      </c>
      <c r="P62" s="23">
        <f t="shared" si="17"/>
        <v>1165.4640862236683</v>
      </c>
      <c r="Q62" s="23">
        <f t="shared" si="13"/>
        <v>1105.6117865236429</v>
      </c>
      <c r="R62" s="23">
        <f t="shared" si="24"/>
        <v>163198.77744999999</v>
      </c>
      <c r="S62" s="25">
        <f t="shared" si="25"/>
        <v>1238.0596910000002</v>
      </c>
    </row>
    <row r="63" spans="1:19" x14ac:dyDescent="0.25">
      <c r="A63" t="s">
        <v>107</v>
      </c>
      <c r="B63" s="58">
        <v>45566</v>
      </c>
      <c r="C63" s="22">
        <f t="shared" si="3"/>
        <v>51</v>
      </c>
      <c r="D63" s="23">
        <f t="shared" si="4"/>
        <v>64099.919387865688</v>
      </c>
      <c r="E63" s="23">
        <f t="shared" si="0"/>
        <v>200.31224808708026</v>
      </c>
      <c r="F63" s="23">
        <f t="shared" si="1"/>
        <v>336.90183813658797</v>
      </c>
      <c r="G63" s="52">
        <f t="shared" si="2"/>
        <v>338.33333333333331</v>
      </c>
      <c r="H63" s="23">
        <f t="shared" si="5"/>
        <v>0</v>
      </c>
      <c r="I63" s="24"/>
      <c r="J63" s="23">
        <f t="shared" si="6"/>
        <v>13.916666666666666</v>
      </c>
      <c r="K63" s="23">
        <f t="shared" si="7"/>
        <v>336.90183813658797</v>
      </c>
      <c r="L63" s="23">
        <f t="shared" si="8"/>
        <v>63763.017549729098</v>
      </c>
      <c r="M63" s="23">
        <f t="shared" si="9"/>
        <v>889.46408622366812</v>
      </c>
      <c r="N63" s="23">
        <f t="shared" si="10"/>
        <v>276</v>
      </c>
      <c r="O63" s="23">
        <f t="shared" si="11"/>
        <v>0</v>
      </c>
      <c r="P63" s="23">
        <f t="shared" si="17"/>
        <v>1165.4640862236681</v>
      </c>
      <c r="Q63" s="23">
        <f t="shared" si="13"/>
        <v>1104.5622480870802</v>
      </c>
      <c r="R63" s="23">
        <f t="shared" si="24"/>
        <v>163198.77744999999</v>
      </c>
      <c r="S63" s="25">
        <f t="shared" si="25"/>
        <v>1238.0596910000002</v>
      </c>
    </row>
    <row r="64" spans="1:19" x14ac:dyDescent="0.25">
      <c r="A64" t="s">
        <v>108</v>
      </c>
      <c r="B64" s="58">
        <v>45597</v>
      </c>
      <c r="C64" s="22">
        <f t="shared" si="3"/>
        <v>52</v>
      </c>
      <c r="D64" s="23">
        <f t="shared" si="4"/>
        <v>63763.017549729098</v>
      </c>
      <c r="E64" s="23">
        <f t="shared" si="0"/>
        <v>199.25942984290342</v>
      </c>
      <c r="F64" s="23">
        <f t="shared" si="1"/>
        <v>337.95465638076485</v>
      </c>
      <c r="G64" s="52">
        <f t="shared" si="2"/>
        <v>338.33333333333331</v>
      </c>
      <c r="H64" s="23">
        <f t="shared" si="5"/>
        <v>0</v>
      </c>
      <c r="I64" s="24"/>
      <c r="J64" s="23">
        <f t="shared" si="6"/>
        <v>13.916666666666666</v>
      </c>
      <c r="K64" s="23">
        <f t="shared" si="7"/>
        <v>337.95465638076485</v>
      </c>
      <c r="L64" s="23">
        <f t="shared" si="8"/>
        <v>63425.062893348331</v>
      </c>
      <c r="M64" s="23">
        <f t="shared" si="9"/>
        <v>889.46408622366823</v>
      </c>
      <c r="N64" s="23">
        <f t="shared" si="10"/>
        <v>276</v>
      </c>
      <c r="O64" s="23">
        <f t="shared" si="11"/>
        <v>0</v>
      </c>
      <c r="P64" s="23">
        <f t="shared" si="17"/>
        <v>1165.4640862236683</v>
      </c>
      <c r="Q64" s="23">
        <f t="shared" si="13"/>
        <v>1103.5094298429035</v>
      </c>
      <c r="R64" s="23">
        <f t="shared" si="24"/>
        <v>163198.77744999999</v>
      </c>
      <c r="S64" s="25">
        <f t="shared" si="25"/>
        <v>1238.0596910000002</v>
      </c>
    </row>
    <row r="65" spans="1:19" x14ac:dyDescent="0.25">
      <c r="A65" t="s">
        <v>109</v>
      </c>
      <c r="B65" s="58">
        <v>45627</v>
      </c>
      <c r="C65" s="22">
        <f t="shared" si="3"/>
        <v>53</v>
      </c>
      <c r="D65" s="23">
        <f t="shared" si="4"/>
        <v>63425.062893348331</v>
      </c>
      <c r="E65" s="23">
        <f t="shared" si="0"/>
        <v>198.20332154171351</v>
      </c>
      <c r="F65" s="23">
        <f t="shared" si="1"/>
        <v>339.0107646819547</v>
      </c>
      <c r="G65" s="52">
        <f t="shared" si="2"/>
        <v>338.33333333333331</v>
      </c>
      <c r="H65" s="23">
        <f t="shared" si="5"/>
        <v>0</v>
      </c>
      <c r="I65" s="24"/>
      <c r="J65" s="23">
        <f t="shared" si="6"/>
        <v>13.916666666666666</v>
      </c>
      <c r="K65" s="23">
        <f t="shared" si="7"/>
        <v>339.0107646819547</v>
      </c>
      <c r="L65" s="23">
        <f t="shared" si="8"/>
        <v>63086.052128666379</v>
      </c>
      <c r="M65" s="23">
        <f t="shared" si="9"/>
        <v>889.46408622366823</v>
      </c>
      <c r="N65" s="23">
        <f t="shared" si="10"/>
        <v>276</v>
      </c>
      <c r="O65" s="23">
        <f t="shared" si="11"/>
        <v>0</v>
      </c>
      <c r="P65" s="23">
        <f t="shared" si="17"/>
        <v>1165.4640862236683</v>
      </c>
      <c r="Q65" s="23">
        <f t="shared" si="13"/>
        <v>1102.4533215417136</v>
      </c>
      <c r="R65" s="23">
        <f t="shared" si="24"/>
        <v>163198.77744999999</v>
      </c>
      <c r="S65" s="25">
        <f t="shared" si="25"/>
        <v>1238.0596910000002</v>
      </c>
    </row>
    <row r="66" spans="1:19" x14ac:dyDescent="0.25">
      <c r="A66" t="s">
        <v>110</v>
      </c>
      <c r="B66" s="58">
        <v>45658</v>
      </c>
      <c r="C66" s="22">
        <f t="shared" si="3"/>
        <v>54</v>
      </c>
      <c r="D66" s="23">
        <f t="shared" si="4"/>
        <v>63086.052128666379</v>
      </c>
      <c r="E66" s="23">
        <f t="shared" si="0"/>
        <v>197.14391290208241</v>
      </c>
      <c r="F66" s="23">
        <f t="shared" si="1"/>
        <v>340.0701733215858</v>
      </c>
      <c r="G66" s="52">
        <f t="shared" si="2"/>
        <v>338.33333333333331</v>
      </c>
      <c r="H66" s="23">
        <f t="shared" si="5"/>
        <v>0</v>
      </c>
      <c r="I66" s="24"/>
      <c r="J66" s="23">
        <f t="shared" si="6"/>
        <v>13.916666666666666</v>
      </c>
      <c r="K66" s="23">
        <f t="shared" si="7"/>
        <v>340.0701733215858</v>
      </c>
      <c r="L66" s="23">
        <f t="shared" si="8"/>
        <v>62745.981955344796</v>
      </c>
      <c r="M66" s="23">
        <f t="shared" si="9"/>
        <v>889.46408622366823</v>
      </c>
      <c r="N66" s="23">
        <f t="shared" si="10"/>
        <v>276</v>
      </c>
      <c r="O66" s="23">
        <f t="shared" si="11"/>
        <v>0</v>
      </c>
      <c r="P66" s="23">
        <f t="shared" si="17"/>
        <v>1165.4640862236683</v>
      </c>
      <c r="Q66" s="23">
        <f t="shared" si="13"/>
        <v>1101.3939129020825</v>
      </c>
      <c r="R66" s="23">
        <f t="shared" si="24"/>
        <v>163198.77744999999</v>
      </c>
      <c r="S66" s="25">
        <f t="shared" si="25"/>
        <v>1238.0596910000002</v>
      </c>
    </row>
    <row r="67" spans="1:19" x14ac:dyDescent="0.25">
      <c r="A67" t="s">
        <v>111</v>
      </c>
      <c r="B67" s="58">
        <v>45689</v>
      </c>
      <c r="C67" s="22">
        <f t="shared" si="3"/>
        <v>55</v>
      </c>
      <c r="D67" s="23">
        <f t="shared" si="4"/>
        <v>62745.981955344796</v>
      </c>
      <c r="E67" s="23">
        <f t="shared" si="0"/>
        <v>196.08119361045246</v>
      </c>
      <c r="F67" s="23">
        <f t="shared" si="1"/>
        <v>341.13289261321574</v>
      </c>
      <c r="G67" s="52">
        <f t="shared" si="2"/>
        <v>338.33333333333331</v>
      </c>
      <c r="H67" s="23">
        <f t="shared" si="5"/>
        <v>0</v>
      </c>
      <c r="I67" s="24"/>
      <c r="J67" s="23">
        <f t="shared" si="6"/>
        <v>13.916666666666666</v>
      </c>
      <c r="K67" s="23">
        <f t="shared" si="7"/>
        <v>341.13289261321574</v>
      </c>
      <c r="L67" s="23">
        <f t="shared" si="8"/>
        <v>62404.849062731577</v>
      </c>
      <c r="M67" s="23">
        <f t="shared" si="9"/>
        <v>889.46408622366823</v>
      </c>
      <c r="N67" s="23">
        <f t="shared" si="10"/>
        <v>276</v>
      </c>
      <c r="O67" s="23">
        <f t="shared" si="11"/>
        <v>0</v>
      </c>
      <c r="P67" s="23">
        <f t="shared" si="17"/>
        <v>1165.4640862236683</v>
      </c>
      <c r="Q67" s="23">
        <f t="shared" si="13"/>
        <v>1100.3311936104526</v>
      </c>
      <c r="R67" s="23">
        <f t="shared" si="24"/>
        <v>163198.77744999999</v>
      </c>
      <c r="S67" s="25">
        <f t="shared" si="25"/>
        <v>1238.0596910000002</v>
      </c>
    </row>
    <row r="68" spans="1:19" x14ac:dyDescent="0.25">
      <c r="A68" t="s">
        <v>112</v>
      </c>
      <c r="B68" s="58">
        <v>45717</v>
      </c>
      <c r="C68" s="22">
        <f t="shared" si="3"/>
        <v>56</v>
      </c>
      <c r="D68" s="23">
        <f t="shared" si="4"/>
        <v>62404.849062731577</v>
      </c>
      <c r="E68" s="23">
        <f t="shared" si="0"/>
        <v>195.01515332103617</v>
      </c>
      <c r="F68" s="23">
        <f t="shared" si="1"/>
        <v>342.19893290263207</v>
      </c>
      <c r="G68" s="52">
        <f t="shared" si="2"/>
        <v>338.33333333333331</v>
      </c>
      <c r="H68" s="23">
        <f t="shared" si="5"/>
        <v>0</v>
      </c>
      <c r="I68" s="24"/>
      <c r="J68" s="23">
        <f t="shared" si="6"/>
        <v>13.916666666666666</v>
      </c>
      <c r="K68" s="23">
        <f t="shared" si="7"/>
        <v>342.19893290263207</v>
      </c>
      <c r="L68" s="23">
        <f t="shared" si="8"/>
        <v>62062.650129828944</v>
      </c>
      <c r="M68" s="23">
        <f t="shared" si="9"/>
        <v>889.46408622366835</v>
      </c>
      <c r="N68" s="23">
        <f t="shared" si="10"/>
        <v>276</v>
      </c>
      <c r="O68" s="23">
        <f t="shared" si="11"/>
        <v>0</v>
      </c>
      <c r="P68" s="23">
        <f t="shared" si="17"/>
        <v>1165.4640862236683</v>
      </c>
      <c r="Q68" s="23">
        <f t="shared" si="13"/>
        <v>1099.2651533210362</v>
      </c>
      <c r="R68" s="23">
        <f t="shared" si="24"/>
        <v>163198.77744999999</v>
      </c>
      <c r="S68" s="25">
        <f t="shared" si="25"/>
        <v>1238.0596910000002</v>
      </c>
    </row>
    <row r="69" spans="1:19" x14ac:dyDescent="0.25">
      <c r="A69" t="s">
        <v>113</v>
      </c>
      <c r="B69" s="58">
        <v>45748</v>
      </c>
      <c r="C69" s="22">
        <f t="shared" si="3"/>
        <v>57</v>
      </c>
      <c r="D69" s="23">
        <f t="shared" si="4"/>
        <v>62062.650129828944</v>
      </c>
      <c r="E69" s="23">
        <f t="shared" si="0"/>
        <v>193.94578165571542</v>
      </c>
      <c r="F69" s="23">
        <f t="shared" si="1"/>
        <v>343.26830456795278</v>
      </c>
      <c r="G69" s="52">
        <f t="shared" si="2"/>
        <v>338.33333333333331</v>
      </c>
      <c r="H69" s="23">
        <f t="shared" si="5"/>
        <v>0</v>
      </c>
      <c r="I69" s="24"/>
      <c r="J69" s="23">
        <f t="shared" si="6"/>
        <v>13.916666666666666</v>
      </c>
      <c r="K69" s="23">
        <f t="shared" si="7"/>
        <v>343.26830456795278</v>
      </c>
      <c r="L69" s="23">
        <f t="shared" si="8"/>
        <v>61719.381825260993</v>
      </c>
      <c r="M69" s="23">
        <f t="shared" si="9"/>
        <v>889.46408622366823</v>
      </c>
      <c r="N69" s="23">
        <f t="shared" si="10"/>
        <v>276</v>
      </c>
      <c r="O69" s="23">
        <f t="shared" si="11"/>
        <v>0</v>
      </c>
      <c r="P69" s="23">
        <f t="shared" si="17"/>
        <v>1165.4640862236683</v>
      </c>
      <c r="Q69" s="23">
        <f t="shared" si="13"/>
        <v>1098.1957816557156</v>
      </c>
      <c r="R69" s="23">
        <f t="shared" si="24"/>
        <v>163198.77744999999</v>
      </c>
      <c r="S69" s="25">
        <f t="shared" si="25"/>
        <v>1238.0596910000002</v>
      </c>
    </row>
    <row r="70" spans="1:19" x14ac:dyDescent="0.25">
      <c r="A70" t="s">
        <v>114</v>
      </c>
      <c r="B70" s="58">
        <v>45778</v>
      </c>
      <c r="C70" s="22">
        <f t="shared" si="3"/>
        <v>58</v>
      </c>
      <c r="D70" s="23">
        <f t="shared" si="4"/>
        <v>61719.381825260993</v>
      </c>
      <c r="E70" s="23">
        <f t="shared" si="0"/>
        <v>192.87306820394059</v>
      </c>
      <c r="F70" s="23">
        <f t="shared" si="1"/>
        <v>344.34101801972764</v>
      </c>
      <c r="G70" s="52">
        <f t="shared" si="2"/>
        <v>338.33333333333331</v>
      </c>
      <c r="H70" s="23">
        <f t="shared" si="5"/>
        <v>0</v>
      </c>
      <c r="I70" s="24"/>
      <c r="J70" s="23">
        <f t="shared" si="6"/>
        <v>13.916666666666666</v>
      </c>
      <c r="K70" s="23">
        <f t="shared" si="7"/>
        <v>344.34101801972764</v>
      </c>
      <c r="L70" s="23">
        <f t="shared" si="8"/>
        <v>61375.040807241268</v>
      </c>
      <c r="M70" s="23">
        <f t="shared" si="9"/>
        <v>889.46408622366835</v>
      </c>
      <c r="N70" s="23">
        <f t="shared" si="10"/>
        <v>276</v>
      </c>
      <c r="O70" s="23">
        <f t="shared" si="11"/>
        <v>0</v>
      </c>
      <c r="P70" s="23">
        <f t="shared" si="17"/>
        <v>1165.4640862236683</v>
      </c>
      <c r="Q70" s="23">
        <f t="shared" si="13"/>
        <v>1097.1230682039406</v>
      </c>
      <c r="R70" s="23">
        <f t="shared" si="24"/>
        <v>163198.77744999999</v>
      </c>
      <c r="S70" s="25">
        <f t="shared" si="25"/>
        <v>1238.0596910000002</v>
      </c>
    </row>
    <row r="71" spans="1:19" x14ac:dyDescent="0.25">
      <c r="A71" t="s">
        <v>115</v>
      </c>
      <c r="B71" s="58">
        <v>45809</v>
      </c>
      <c r="C71" s="22">
        <f t="shared" si="3"/>
        <v>59</v>
      </c>
      <c r="D71" s="23">
        <f t="shared" si="4"/>
        <v>61375.040807241268</v>
      </c>
      <c r="E71" s="23">
        <f t="shared" si="0"/>
        <v>191.79700252262896</v>
      </c>
      <c r="F71" s="23">
        <f t="shared" si="1"/>
        <v>345.41708370103925</v>
      </c>
      <c r="G71" s="52">
        <f t="shared" si="2"/>
        <v>338.33333333333331</v>
      </c>
      <c r="H71" s="23">
        <f t="shared" si="5"/>
        <v>0</v>
      </c>
      <c r="I71" s="24"/>
      <c r="J71" s="23">
        <f t="shared" si="6"/>
        <v>13.916666666666666</v>
      </c>
      <c r="K71" s="23">
        <f t="shared" si="7"/>
        <v>345.41708370103925</v>
      </c>
      <c r="L71" s="23">
        <f t="shared" si="8"/>
        <v>61029.62372354023</v>
      </c>
      <c r="M71" s="23">
        <f t="shared" si="9"/>
        <v>889.46408622366823</v>
      </c>
      <c r="N71" s="23">
        <f t="shared" si="10"/>
        <v>276</v>
      </c>
      <c r="O71" s="23">
        <f t="shared" si="11"/>
        <v>0</v>
      </c>
      <c r="P71" s="23">
        <f t="shared" si="17"/>
        <v>1165.4640862236683</v>
      </c>
      <c r="Q71" s="23">
        <f t="shared" si="13"/>
        <v>1096.0470025226291</v>
      </c>
      <c r="R71" s="23">
        <f t="shared" si="24"/>
        <v>163198.77744999999</v>
      </c>
      <c r="S71" s="25">
        <f t="shared" si="25"/>
        <v>1238.0596910000002</v>
      </c>
    </row>
    <row r="72" spans="1:19" x14ac:dyDescent="0.25">
      <c r="A72" t="s">
        <v>116</v>
      </c>
      <c r="B72" s="58">
        <v>45839</v>
      </c>
      <c r="C72" s="22">
        <f t="shared" si="3"/>
        <v>60</v>
      </c>
      <c r="D72" s="23">
        <f t="shared" si="4"/>
        <v>61029.62372354023</v>
      </c>
      <c r="E72" s="23">
        <f t="shared" si="0"/>
        <v>190.71757413606321</v>
      </c>
      <c r="F72" s="23">
        <f t="shared" si="1"/>
        <v>346.49651208760503</v>
      </c>
      <c r="G72" s="52">
        <f t="shared" si="2"/>
        <v>338.33333333333331</v>
      </c>
      <c r="H72" s="23">
        <f t="shared" si="5"/>
        <v>0</v>
      </c>
      <c r="I72" s="24"/>
      <c r="J72" s="23">
        <f t="shared" si="6"/>
        <v>13.916666666666666</v>
      </c>
      <c r="K72" s="23">
        <f t="shared" si="7"/>
        <v>346.49651208760503</v>
      </c>
      <c r="L72" s="23">
        <f t="shared" si="8"/>
        <v>60683.127211452622</v>
      </c>
      <c r="M72" s="23">
        <f t="shared" si="9"/>
        <v>889.46408622366812</v>
      </c>
      <c r="N72" s="23">
        <f t="shared" si="10"/>
        <v>276</v>
      </c>
      <c r="O72" s="23">
        <f t="shared" si="11"/>
        <v>0</v>
      </c>
      <c r="P72" s="23">
        <f t="shared" si="17"/>
        <v>1165.4640862236681</v>
      </c>
      <c r="Q72" s="23">
        <f t="shared" si="13"/>
        <v>1094.9675741360631</v>
      </c>
      <c r="R72" s="23">
        <f t="shared" si="24"/>
        <v>163198.77744999999</v>
      </c>
      <c r="S72" s="25">
        <f t="shared" si="25"/>
        <v>1238.0596910000002</v>
      </c>
    </row>
    <row r="73" spans="1:19" x14ac:dyDescent="0.25">
      <c r="A73" t="s">
        <v>117</v>
      </c>
      <c r="B73" s="58">
        <v>45870</v>
      </c>
      <c r="C73" s="22">
        <f t="shared" si="3"/>
        <v>61</v>
      </c>
      <c r="D73" s="23">
        <f t="shared" si="4"/>
        <v>60683.127211452622</v>
      </c>
      <c r="E73" s="23">
        <f t="shared" si="0"/>
        <v>189.63477253578944</v>
      </c>
      <c r="F73" s="23">
        <f t="shared" si="1"/>
        <v>347.57931368787877</v>
      </c>
      <c r="G73" s="52">
        <f t="shared" si="2"/>
        <v>338.33333333333331</v>
      </c>
      <c r="H73" s="23">
        <f t="shared" si="5"/>
        <v>0</v>
      </c>
      <c r="I73" s="24"/>
      <c r="J73" s="23">
        <f t="shared" si="6"/>
        <v>13.916666666666666</v>
      </c>
      <c r="K73" s="23">
        <f t="shared" si="7"/>
        <v>347.57931368787877</v>
      </c>
      <c r="L73" s="23">
        <f t="shared" si="8"/>
        <v>60335.547897764744</v>
      </c>
      <c r="M73" s="23">
        <f t="shared" si="9"/>
        <v>889.46408622366823</v>
      </c>
      <c r="N73" s="23">
        <f t="shared" si="10"/>
        <v>276</v>
      </c>
      <c r="O73" s="23">
        <f t="shared" si="11"/>
        <v>0</v>
      </c>
      <c r="P73" s="23">
        <f t="shared" si="17"/>
        <v>1165.4640862236683</v>
      </c>
      <c r="Q73" s="23">
        <f t="shared" si="13"/>
        <v>1093.8847725357896</v>
      </c>
      <c r="R73" s="23">
        <f t="shared" ref="R73:R84" si="26">$R$72+ $R$72*$M$8</f>
        <v>168094.7407735</v>
      </c>
      <c r="S73" s="25">
        <f t="shared" ref="S73:S84" si="27">$S$72 + ($S$72 * $T$5)</f>
        <v>1275.2014817300001</v>
      </c>
    </row>
    <row r="74" spans="1:19" x14ac:dyDescent="0.25">
      <c r="A74" t="s">
        <v>118</v>
      </c>
      <c r="B74" s="58">
        <v>45901</v>
      </c>
      <c r="C74" s="22">
        <f t="shared" si="3"/>
        <v>62</v>
      </c>
      <c r="D74" s="23">
        <f t="shared" si="4"/>
        <v>60335.547897764744</v>
      </c>
      <c r="E74" s="23">
        <f t="shared" si="0"/>
        <v>188.5485871805148</v>
      </c>
      <c r="F74" s="23">
        <f t="shared" si="1"/>
        <v>348.66549904315343</v>
      </c>
      <c r="G74" s="52">
        <f t="shared" si="2"/>
        <v>338.33333333333331</v>
      </c>
      <c r="H74" s="23">
        <f t="shared" si="5"/>
        <v>0</v>
      </c>
      <c r="I74" s="24"/>
      <c r="J74" s="23">
        <f t="shared" si="6"/>
        <v>13.916666666666666</v>
      </c>
      <c r="K74" s="23">
        <f t="shared" si="7"/>
        <v>348.66549904315343</v>
      </c>
      <c r="L74" s="23">
        <f t="shared" si="8"/>
        <v>59986.882398721587</v>
      </c>
      <c r="M74" s="23">
        <f t="shared" si="9"/>
        <v>889.46408622366823</v>
      </c>
      <c r="N74" s="23">
        <f t="shared" si="10"/>
        <v>276</v>
      </c>
      <c r="O74" s="23">
        <f t="shared" si="11"/>
        <v>0</v>
      </c>
      <c r="P74" s="23">
        <f t="shared" si="17"/>
        <v>1165.4640862236683</v>
      </c>
      <c r="Q74" s="23">
        <f t="shared" si="13"/>
        <v>1092.7985871805149</v>
      </c>
      <c r="R74" s="23">
        <f t="shared" si="26"/>
        <v>168094.7407735</v>
      </c>
      <c r="S74" s="25">
        <f t="shared" si="27"/>
        <v>1275.2014817300001</v>
      </c>
    </row>
    <row r="75" spans="1:19" x14ac:dyDescent="0.25">
      <c r="A75" t="s">
        <v>119</v>
      </c>
      <c r="B75" s="58">
        <v>45931</v>
      </c>
      <c r="C75" s="22">
        <f t="shared" si="3"/>
        <v>63</v>
      </c>
      <c r="D75" s="23">
        <f t="shared" si="4"/>
        <v>59986.882398721587</v>
      </c>
      <c r="E75" s="23">
        <f t="shared" si="0"/>
        <v>187.45900749600494</v>
      </c>
      <c r="F75" s="23">
        <f t="shared" si="1"/>
        <v>349.75507872766332</v>
      </c>
      <c r="G75" s="52">
        <f t="shared" si="2"/>
        <v>338.33333333333331</v>
      </c>
      <c r="H75" s="23">
        <f t="shared" si="5"/>
        <v>0</v>
      </c>
      <c r="I75" s="24"/>
      <c r="J75" s="23">
        <f t="shared" si="6"/>
        <v>13.916666666666666</v>
      </c>
      <c r="K75" s="23">
        <f t="shared" si="7"/>
        <v>349.75507872766332</v>
      </c>
      <c r="L75" s="23">
        <f t="shared" si="8"/>
        <v>59637.127319993924</v>
      </c>
      <c r="M75" s="23">
        <f t="shared" si="9"/>
        <v>889.46408622366823</v>
      </c>
      <c r="N75" s="23">
        <f t="shared" si="10"/>
        <v>276</v>
      </c>
      <c r="O75" s="23">
        <f t="shared" si="11"/>
        <v>0</v>
      </c>
      <c r="P75" s="23">
        <f t="shared" si="17"/>
        <v>1165.4640862236683</v>
      </c>
      <c r="Q75" s="23">
        <f t="shared" si="13"/>
        <v>1091.7090074960051</v>
      </c>
      <c r="R75" s="23">
        <f t="shared" si="26"/>
        <v>168094.7407735</v>
      </c>
      <c r="S75" s="25">
        <f t="shared" si="27"/>
        <v>1275.2014817300001</v>
      </c>
    </row>
    <row r="76" spans="1:19" x14ac:dyDescent="0.25">
      <c r="A76" t="s">
        <v>120</v>
      </c>
      <c r="B76" s="58">
        <v>45962</v>
      </c>
      <c r="C76" s="22">
        <f t="shared" si="3"/>
        <v>64</v>
      </c>
      <c r="D76" s="23">
        <f t="shared" si="4"/>
        <v>59637.127319993924</v>
      </c>
      <c r="E76" s="23">
        <f t="shared" si="0"/>
        <v>186.36602287498098</v>
      </c>
      <c r="F76" s="23">
        <f t="shared" si="1"/>
        <v>350.84806334868722</v>
      </c>
      <c r="G76" s="52">
        <f t="shared" si="2"/>
        <v>338.33333333333331</v>
      </c>
      <c r="H76" s="23">
        <f t="shared" si="5"/>
        <v>0</v>
      </c>
      <c r="I76" s="24"/>
      <c r="J76" s="23">
        <f t="shared" si="6"/>
        <v>13.916666666666666</v>
      </c>
      <c r="K76" s="23">
        <f t="shared" si="7"/>
        <v>350.84806334868722</v>
      </c>
      <c r="L76" s="23">
        <f t="shared" si="8"/>
        <v>59286.279256645234</v>
      </c>
      <c r="M76" s="23">
        <f t="shared" si="9"/>
        <v>889.46408622366823</v>
      </c>
      <c r="N76" s="23">
        <f t="shared" si="10"/>
        <v>276</v>
      </c>
      <c r="O76" s="23">
        <f t="shared" si="11"/>
        <v>0</v>
      </c>
      <c r="P76" s="23">
        <f t="shared" si="17"/>
        <v>1165.4640862236683</v>
      </c>
      <c r="Q76" s="23">
        <f t="shared" si="13"/>
        <v>1090.6160228749811</v>
      </c>
      <c r="R76" s="23">
        <f t="shared" si="26"/>
        <v>168094.7407735</v>
      </c>
      <c r="S76" s="25">
        <f t="shared" si="27"/>
        <v>1275.2014817300001</v>
      </c>
    </row>
    <row r="77" spans="1:19" x14ac:dyDescent="0.25">
      <c r="A77" t="s">
        <v>121</v>
      </c>
      <c r="B77" s="58">
        <v>45992</v>
      </c>
      <c r="C77" s="22">
        <f t="shared" si="3"/>
        <v>65</v>
      </c>
      <c r="D77" s="23">
        <f t="shared" si="4"/>
        <v>59286.279256645234</v>
      </c>
      <c r="E77" s="23">
        <f t="shared" si="0"/>
        <v>185.26962267701634</v>
      </c>
      <c r="F77" s="23">
        <f t="shared" si="1"/>
        <v>351.94446354665189</v>
      </c>
      <c r="G77" s="52">
        <f t="shared" ref="G77:G140" si="28">+IF(C77="",0,$H$4)</f>
        <v>338.33333333333331</v>
      </c>
      <c r="H77" s="23">
        <f t="shared" si="5"/>
        <v>0</v>
      </c>
      <c r="I77" s="24"/>
      <c r="J77" s="23">
        <f t="shared" si="6"/>
        <v>13.916666666666666</v>
      </c>
      <c r="K77" s="23">
        <f t="shared" si="7"/>
        <v>351.94446354665189</v>
      </c>
      <c r="L77" s="23">
        <f t="shared" si="8"/>
        <v>58934.334793098584</v>
      </c>
      <c r="M77" s="23">
        <f t="shared" si="9"/>
        <v>889.46408622366812</v>
      </c>
      <c r="N77" s="23">
        <f t="shared" si="10"/>
        <v>276</v>
      </c>
      <c r="O77" s="23">
        <f t="shared" si="11"/>
        <v>0</v>
      </c>
      <c r="P77" s="23">
        <f t="shared" ref="P77:P140" si="29">M77+N77-O77</f>
        <v>1165.4640862236681</v>
      </c>
      <c r="Q77" s="23">
        <f t="shared" si="13"/>
        <v>1089.5196226770163</v>
      </c>
      <c r="R77" s="23">
        <f t="shared" si="26"/>
        <v>168094.7407735</v>
      </c>
      <c r="S77" s="25">
        <f t="shared" si="27"/>
        <v>1275.2014817300001</v>
      </c>
    </row>
    <row r="78" spans="1:19" x14ac:dyDescent="0.25">
      <c r="A78" t="s">
        <v>122</v>
      </c>
      <c r="B78" s="58">
        <v>46023</v>
      </c>
      <c r="C78" s="22">
        <f t="shared" ref="C78:C141" si="30">+IF(L77&gt;1,IF(C77="","",C77+1),"")</f>
        <v>66</v>
      </c>
      <c r="D78" s="23">
        <f t="shared" ref="D78:D141" si="31">+IF(C78="","",L77)</f>
        <v>58934.334793098584</v>
      </c>
      <c r="E78" s="23">
        <f t="shared" si="0"/>
        <v>184.16979622843306</v>
      </c>
      <c r="F78" s="23">
        <f t="shared" si="1"/>
        <v>353.0442899952352</v>
      </c>
      <c r="G78" s="52">
        <f t="shared" si="28"/>
        <v>338.33333333333331</v>
      </c>
      <c r="H78" s="23">
        <f t="shared" ref="H78:H141" si="32">+IF(C78="",0,IF(D78&lt;$D$4*0.8,0,$H$5))</f>
        <v>0</v>
      </c>
      <c r="I78" s="24"/>
      <c r="J78" s="23">
        <f t="shared" ref="J78:J141" si="33">IF(C78="","",167/12)</f>
        <v>13.916666666666666</v>
      </c>
      <c r="K78" s="23">
        <f t="shared" ref="K78:K141" si="34">+IF(C78="",0,F78+I78)</f>
        <v>353.0442899952352</v>
      </c>
      <c r="L78" s="23">
        <f t="shared" ref="L78:L141" si="35">+IF(C78="","",D78-K78)</f>
        <v>58581.290503103352</v>
      </c>
      <c r="M78" s="23">
        <f t="shared" ref="M78:M141" si="36">J78+I78+H78+G78+F78+E78</f>
        <v>889.46408622366823</v>
      </c>
      <c r="N78" s="23">
        <f t="shared" ref="N78:N141" si="37">IF(C78="","",$M$4)</f>
        <v>276</v>
      </c>
      <c r="O78" s="23">
        <f t="shared" ref="O78:O141" si="38">(E78+G78)*0</f>
        <v>0</v>
      </c>
      <c r="P78" s="23">
        <f t="shared" si="29"/>
        <v>1165.4640862236683</v>
      </c>
      <c r="Q78" s="23">
        <f t="shared" ref="Q78:Q141" si="39">P78-F78+N78</f>
        <v>1088.4197962284331</v>
      </c>
      <c r="R78" s="23">
        <f t="shared" si="26"/>
        <v>168094.7407735</v>
      </c>
      <c r="S78" s="25">
        <f t="shared" si="27"/>
        <v>1275.2014817300001</v>
      </c>
    </row>
    <row r="79" spans="1:19" x14ac:dyDescent="0.25">
      <c r="A79" t="s">
        <v>123</v>
      </c>
      <c r="B79" s="58">
        <v>46054</v>
      </c>
      <c r="C79" s="22">
        <f t="shared" si="30"/>
        <v>67</v>
      </c>
      <c r="D79" s="23">
        <f t="shared" si="31"/>
        <v>58581.290503103352</v>
      </c>
      <c r="E79" s="23">
        <f t="shared" si="0"/>
        <v>183.06653282219796</v>
      </c>
      <c r="F79" s="23">
        <f t="shared" si="1"/>
        <v>354.1475534014703</v>
      </c>
      <c r="G79" s="52">
        <f t="shared" si="28"/>
        <v>338.33333333333331</v>
      </c>
      <c r="H79" s="23">
        <f t="shared" si="32"/>
        <v>0</v>
      </c>
      <c r="I79" s="24"/>
      <c r="J79" s="23">
        <f t="shared" si="33"/>
        <v>13.916666666666666</v>
      </c>
      <c r="K79" s="23">
        <f t="shared" si="34"/>
        <v>354.1475534014703</v>
      </c>
      <c r="L79" s="23">
        <f t="shared" si="35"/>
        <v>58227.142949701883</v>
      </c>
      <c r="M79" s="23">
        <f t="shared" si="36"/>
        <v>889.46408622366823</v>
      </c>
      <c r="N79" s="23">
        <f t="shared" si="37"/>
        <v>276</v>
      </c>
      <c r="O79" s="23">
        <f t="shared" si="38"/>
        <v>0</v>
      </c>
      <c r="P79" s="23">
        <f t="shared" si="29"/>
        <v>1165.4640862236683</v>
      </c>
      <c r="Q79" s="23">
        <f t="shared" si="39"/>
        <v>1087.316532822198</v>
      </c>
      <c r="R79" s="23">
        <f t="shared" si="26"/>
        <v>168094.7407735</v>
      </c>
      <c r="S79" s="25">
        <f t="shared" si="27"/>
        <v>1275.2014817300001</v>
      </c>
    </row>
    <row r="80" spans="1:19" x14ac:dyDescent="0.25">
      <c r="A80" t="s">
        <v>124</v>
      </c>
      <c r="B80" s="58">
        <v>46082</v>
      </c>
      <c r="C80" s="22">
        <f t="shared" si="30"/>
        <v>68</v>
      </c>
      <c r="D80" s="23">
        <f t="shared" si="31"/>
        <v>58227.142949701883</v>
      </c>
      <c r="E80" s="23">
        <f t="shared" si="0"/>
        <v>181.95982171781836</v>
      </c>
      <c r="F80" s="23">
        <f t="shared" si="1"/>
        <v>355.25426450584985</v>
      </c>
      <c r="G80" s="52">
        <f t="shared" si="28"/>
        <v>338.33333333333331</v>
      </c>
      <c r="H80" s="23">
        <f t="shared" si="32"/>
        <v>0</v>
      </c>
      <c r="I80" s="24"/>
      <c r="J80" s="23">
        <f t="shared" si="33"/>
        <v>13.916666666666666</v>
      </c>
      <c r="K80" s="23">
        <f t="shared" si="34"/>
        <v>355.25426450584985</v>
      </c>
      <c r="L80" s="23">
        <f t="shared" si="35"/>
        <v>57871.888685196034</v>
      </c>
      <c r="M80" s="23">
        <f t="shared" si="36"/>
        <v>889.46408622366823</v>
      </c>
      <c r="N80" s="23">
        <f t="shared" si="37"/>
        <v>276</v>
      </c>
      <c r="O80" s="23">
        <f t="shared" si="38"/>
        <v>0</v>
      </c>
      <c r="P80" s="23">
        <f t="shared" si="29"/>
        <v>1165.4640862236683</v>
      </c>
      <c r="Q80" s="23">
        <f t="shared" si="39"/>
        <v>1086.2098217178186</v>
      </c>
      <c r="R80" s="23">
        <f t="shared" si="26"/>
        <v>168094.7407735</v>
      </c>
      <c r="S80" s="25">
        <f t="shared" si="27"/>
        <v>1275.2014817300001</v>
      </c>
    </row>
    <row r="81" spans="1:19" x14ac:dyDescent="0.25">
      <c r="A81" t="s">
        <v>125</v>
      </c>
      <c r="B81" s="58">
        <v>46113</v>
      </c>
      <c r="C81" s="22">
        <f t="shared" si="30"/>
        <v>69</v>
      </c>
      <c r="D81" s="23">
        <f t="shared" si="31"/>
        <v>57871.888685196034</v>
      </c>
      <c r="E81" s="23">
        <f t="shared" ref="E81:E144" si="40">IF(C81="","",($D$5/12)*D81)</f>
        <v>180.84965214123758</v>
      </c>
      <c r="F81" s="23">
        <f t="shared" si="1"/>
        <v>356.36443408243065</v>
      </c>
      <c r="G81" s="52">
        <f t="shared" si="28"/>
        <v>338.33333333333331</v>
      </c>
      <c r="H81" s="23">
        <f t="shared" si="32"/>
        <v>0</v>
      </c>
      <c r="I81" s="24"/>
      <c r="J81" s="23">
        <f t="shared" si="33"/>
        <v>13.916666666666666</v>
      </c>
      <c r="K81" s="23">
        <f t="shared" si="34"/>
        <v>356.36443408243065</v>
      </c>
      <c r="L81" s="23">
        <f t="shared" si="35"/>
        <v>57515.524251113602</v>
      </c>
      <c r="M81" s="23">
        <f t="shared" si="36"/>
        <v>889.46408622366823</v>
      </c>
      <c r="N81" s="23">
        <f t="shared" si="37"/>
        <v>276</v>
      </c>
      <c r="O81" s="23">
        <f t="shared" si="38"/>
        <v>0</v>
      </c>
      <c r="P81" s="23">
        <f t="shared" si="29"/>
        <v>1165.4640862236683</v>
      </c>
      <c r="Q81" s="23">
        <f t="shared" si="39"/>
        <v>1085.0996521412376</v>
      </c>
      <c r="R81" s="23">
        <f t="shared" si="26"/>
        <v>168094.7407735</v>
      </c>
      <c r="S81" s="25">
        <f t="shared" si="27"/>
        <v>1275.2014817300001</v>
      </c>
    </row>
    <row r="82" spans="1:19" x14ac:dyDescent="0.25">
      <c r="A82" t="s">
        <v>126</v>
      </c>
      <c r="B82" s="58">
        <v>46143</v>
      </c>
      <c r="C82" s="22">
        <f t="shared" si="30"/>
        <v>70</v>
      </c>
      <c r="D82" s="23">
        <f t="shared" si="31"/>
        <v>57515.524251113602</v>
      </c>
      <c r="E82" s="23">
        <f t="shared" si="40"/>
        <v>179.73601328472998</v>
      </c>
      <c r="F82" s="23">
        <f t="shared" si="1"/>
        <v>357.47807293893823</v>
      </c>
      <c r="G82" s="52">
        <f t="shared" si="28"/>
        <v>338.33333333333331</v>
      </c>
      <c r="H82" s="23">
        <f t="shared" si="32"/>
        <v>0</v>
      </c>
      <c r="I82" s="24"/>
      <c r="J82" s="23">
        <f t="shared" si="33"/>
        <v>13.916666666666666</v>
      </c>
      <c r="K82" s="23">
        <f t="shared" si="34"/>
        <v>357.47807293893823</v>
      </c>
      <c r="L82" s="23">
        <f t="shared" si="35"/>
        <v>57158.046178174664</v>
      </c>
      <c r="M82" s="23">
        <f t="shared" si="36"/>
        <v>889.46408622366823</v>
      </c>
      <c r="N82" s="23">
        <f t="shared" si="37"/>
        <v>276</v>
      </c>
      <c r="O82" s="23">
        <f t="shared" si="38"/>
        <v>0</v>
      </c>
      <c r="P82" s="23">
        <f t="shared" si="29"/>
        <v>1165.4640862236683</v>
      </c>
      <c r="Q82" s="23">
        <f t="shared" si="39"/>
        <v>1083.9860132847302</v>
      </c>
      <c r="R82" s="23">
        <f t="shared" si="26"/>
        <v>168094.7407735</v>
      </c>
      <c r="S82" s="25">
        <f t="shared" si="27"/>
        <v>1275.2014817300001</v>
      </c>
    </row>
    <row r="83" spans="1:19" x14ac:dyDescent="0.25">
      <c r="A83" t="s">
        <v>127</v>
      </c>
      <c r="B83" s="58">
        <v>46174</v>
      </c>
      <c r="C83" s="22">
        <f t="shared" si="30"/>
        <v>71</v>
      </c>
      <c r="D83" s="23">
        <f t="shared" si="31"/>
        <v>57158.046178174664</v>
      </c>
      <c r="E83" s="23">
        <f t="shared" si="40"/>
        <v>178.6188943067958</v>
      </c>
      <c r="F83" s="23">
        <f t="shared" si="1"/>
        <v>358.59519191687241</v>
      </c>
      <c r="G83" s="52">
        <f t="shared" si="28"/>
        <v>338.33333333333331</v>
      </c>
      <c r="H83" s="23">
        <f t="shared" si="32"/>
        <v>0</v>
      </c>
      <c r="I83" s="24"/>
      <c r="J83" s="23">
        <f t="shared" si="33"/>
        <v>13.916666666666666</v>
      </c>
      <c r="K83" s="23">
        <f t="shared" si="34"/>
        <v>358.59519191687241</v>
      </c>
      <c r="L83" s="23">
        <f t="shared" si="35"/>
        <v>56799.450986257791</v>
      </c>
      <c r="M83" s="23">
        <f t="shared" si="36"/>
        <v>889.46408622366823</v>
      </c>
      <c r="N83" s="23">
        <f t="shared" si="37"/>
        <v>276</v>
      </c>
      <c r="O83" s="23">
        <f t="shared" si="38"/>
        <v>0</v>
      </c>
      <c r="P83" s="23">
        <f t="shared" si="29"/>
        <v>1165.4640862236683</v>
      </c>
      <c r="Q83" s="23">
        <f t="shared" si="39"/>
        <v>1082.8688943067959</v>
      </c>
      <c r="R83" s="23">
        <f t="shared" si="26"/>
        <v>168094.7407735</v>
      </c>
      <c r="S83" s="25">
        <f t="shared" si="27"/>
        <v>1275.2014817300001</v>
      </c>
    </row>
    <row r="84" spans="1:19" x14ac:dyDescent="0.25">
      <c r="A84" t="s">
        <v>128</v>
      </c>
      <c r="B84" s="58">
        <v>46204</v>
      </c>
      <c r="C84" s="22">
        <f t="shared" si="30"/>
        <v>72</v>
      </c>
      <c r="D84" s="23">
        <f t="shared" si="31"/>
        <v>56799.450986257791</v>
      </c>
      <c r="E84" s="23">
        <f t="shared" si="40"/>
        <v>177.49828433205559</v>
      </c>
      <c r="F84" s="23">
        <f t="shared" si="1"/>
        <v>359.71580189161261</v>
      </c>
      <c r="G84" s="52">
        <f t="shared" si="28"/>
        <v>338.33333333333331</v>
      </c>
      <c r="H84" s="23">
        <f t="shared" si="32"/>
        <v>0</v>
      </c>
      <c r="I84" s="24"/>
      <c r="J84" s="23">
        <f t="shared" si="33"/>
        <v>13.916666666666666</v>
      </c>
      <c r="K84" s="23">
        <f t="shared" si="34"/>
        <v>359.71580189161261</v>
      </c>
      <c r="L84" s="23">
        <f t="shared" si="35"/>
        <v>56439.735184366175</v>
      </c>
      <c r="M84" s="23">
        <f t="shared" si="36"/>
        <v>889.46408622366823</v>
      </c>
      <c r="N84" s="23">
        <f t="shared" si="37"/>
        <v>276</v>
      </c>
      <c r="O84" s="23">
        <f t="shared" si="38"/>
        <v>0</v>
      </c>
      <c r="P84" s="23">
        <f t="shared" si="29"/>
        <v>1165.4640862236683</v>
      </c>
      <c r="Q84" s="23">
        <f t="shared" si="39"/>
        <v>1081.7482843320558</v>
      </c>
      <c r="R84" s="23">
        <f t="shared" si="26"/>
        <v>168094.7407735</v>
      </c>
      <c r="S84" s="25">
        <f t="shared" si="27"/>
        <v>1275.2014817300001</v>
      </c>
    </row>
    <row r="85" spans="1:19" x14ac:dyDescent="0.25">
      <c r="A85" t="s">
        <v>129</v>
      </c>
      <c r="B85" s="58">
        <v>46235</v>
      </c>
      <c r="C85" s="22">
        <f t="shared" si="30"/>
        <v>73</v>
      </c>
      <c r="D85" s="23">
        <f t="shared" si="31"/>
        <v>56439.735184366175</v>
      </c>
      <c r="E85" s="23">
        <f t="shared" si="40"/>
        <v>176.37417245114429</v>
      </c>
      <c r="F85" s="23">
        <f t="shared" ref="F85:F148" si="41">IF(C85="","",$D$8-E85)</f>
        <v>360.83991377252391</v>
      </c>
      <c r="G85" s="52">
        <f t="shared" si="28"/>
        <v>338.33333333333331</v>
      </c>
      <c r="H85" s="23">
        <f t="shared" si="32"/>
        <v>0</v>
      </c>
      <c r="I85" s="24"/>
      <c r="J85" s="23">
        <f t="shared" si="33"/>
        <v>13.916666666666666</v>
      </c>
      <c r="K85" s="23">
        <f t="shared" si="34"/>
        <v>360.83991377252391</v>
      </c>
      <c r="L85" s="23">
        <f t="shared" si="35"/>
        <v>56078.895270593654</v>
      </c>
      <c r="M85" s="23">
        <f t="shared" si="36"/>
        <v>889.46408622366823</v>
      </c>
      <c r="N85" s="23">
        <f t="shared" si="37"/>
        <v>276</v>
      </c>
      <c r="O85" s="23">
        <f t="shared" si="38"/>
        <v>0</v>
      </c>
      <c r="P85" s="23">
        <f t="shared" si="29"/>
        <v>1165.4640862236683</v>
      </c>
      <c r="Q85" s="23">
        <f t="shared" si="39"/>
        <v>1080.6241724511444</v>
      </c>
      <c r="R85" s="23">
        <f t="shared" ref="R85:R96" si="42">$R$84+ $R$84*$M$8</f>
        <v>173137.58299670499</v>
      </c>
      <c r="S85" s="25">
        <f t="shared" ref="S85:S96" si="43">$S$84 + ($S$84 * $T$5)</f>
        <v>1313.4575261819</v>
      </c>
    </row>
    <row r="86" spans="1:19" x14ac:dyDescent="0.25">
      <c r="A86" t="s">
        <v>130</v>
      </c>
      <c r="B86" s="58">
        <v>46266</v>
      </c>
      <c r="C86" s="22">
        <f t="shared" si="30"/>
        <v>74</v>
      </c>
      <c r="D86" s="23">
        <f t="shared" si="31"/>
        <v>56078.895270593654</v>
      </c>
      <c r="E86" s="23">
        <f t="shared" si="40"/>
        <v>175.24654772060515</v>
      </c>
      <c r="F86" s="23">
        <f t="shared" si="41"/>
        <v>361.96753850306311</v>
      </c>
      <c r="G86" s="52">
        <f t="shared" si="28"/>
        <v>338.33333333333331</v>
      </c>
      <c r="H86" s="23">
        <f t="shared" si="32"/>
        <v>0</v>
      </c>
      <c r="I86" s="24"/>
      <c r="J86" s="23">
        <f t="shared" si="33"/>
        <v>13.916666666666666</v>
      </c>
      <c r="K86" s="23">
        <f t="shared" si="34"/>
        <v>361.96753850306311</v>
      </c>
      <c r="L86" s="23">
        <f t="shared" si="35"/>
        <v>55716.927732090589</v>
      </c>
      <c r="M86" s="23">
        <f t="shared" si="36"/>
        <v>889.46408622366823</v>
      </c>
      <c r="N86" s="23">
        <f t="shared" si="37"/>
        <v>276</v>
      </c>
      <c r="O86" s="23">
        <f t="shared" si="38"/>
        <v>0</v>
      </c>
      <c r="P86" s="23">
        <f t="shared" si="29"/>
        <v>1165.4640862236683</v>
      </c>
      <c r="Q86" s="23">
        <f t="shared" si="39"/>
        <v>1079.4965477206051</v>
      </c>
      <c r="R86" s="23">
        <f t="shared" si="42"/>
        <v>173137.58299670499</v>
      </c>
      <c r="S86" s="25">
        <f t="shared" si="43"/>
        <v>1313.4575261819</v>
      </c>
    </row>
    <row r="87" spans="1:19" x14ac:dyDescent="0.25">
      <c r="A87" t="s">
        <v>131</v>
      </c>
      <c r="B87" s="58">
        <v>46296</v>
      </c>
      <c r="C87" s="22">
        <f t="shared" si="30"/>
        <v>75</v>
      </c>
      <c r="D87" s="23">
        <f t="shared" si="31"/>
        <v>55716.927732090589</v>
      </c>
      <c r="E87" s="23">
        <f t="shared" si="40"/>
        <v>174.11539916278306</v>
      </c>
      <c r="F87" s="23">
        <f t="shared" si="41"/>
        <v>363.09868706088514</v>
      </c>
      <c r="G87" s="52">
        <f t="shared" si="28"/>
        <v>338.33333333333331</v>
      </c>
      <c r="H87" s="23">
        <f t="shared" si="32"/>
        <v>0</v>
      </c>
      <c r="I87" s="24"/>
      <c r="J87" s="23">
        <f t="shared" si="33"/>
        <v>13.916666666666666</v>
      </c>
      <c r="K87" s="23">
        <f t="shared" si="34"/>
        <v>363.09868706088514</v>
      </c>
      <c r="L87" s="23">
        <f t="shared" si="35"/>
        <v>55353.829045029706</v>
      </c>
      <c r="M87" s="23">
        <f t="shared" si="36"/>
        <v>889.46408622366823</v>
      </c>
      <c r="N87" s="23">
        <f t="shared" si="37"/>
        <v>276</v>
      </c>
      <c r="O87" s="23">
        <f t="shared" si="38"/>
        <v>0</v>
      </c>
      <c r="P87" s="23">
        <f t="shared" si="29"/>
        <v>1165.4640862236683</v>
      </c>
      <c r="Q87" s="23">
        <f t="shared" si="39"/>
        <v>1078.3653991627832</v>
      </c>
      <c r="R87" s="23">
        <f t="shared" si="42"/>
        <v>173137.58299670499</v>
      </c>
      <c r="S87" s="25">
        <f t="shared" si="43"/>
        <v>1313.4575261819</v>
      </c>
    </row>
    <row r="88" spans="1:19" x14ac:dyDescent="0.25">
      <c r="A88" t="s">
        <v>132</v>
      </c>
      <c r="B88" s="58">
        <v>46327</v>
      </c>
      <c r="C88" s="22">
        <f t="shared" si="30"/>
        <v>76</v>
      </c>
      <c r="D88" s="23">
        <f t="shared" si="31"/>
        <v>55353.829045029706</v>
      </c>
      <c r="E88" s="23">
        <f t="shared" si="40"/>
        <v>172.9807157657178</v>
      </c>
      <c r="F88" s="23">
        <f t="shared" si="41"/>
        <v>364.2333704579504</v>
      </c>
      <c r="G88" s="52">
        <f t="shared" si="28"/>
        <v>338.33333333333331</v>
      </c>
      <c r="H88" s="23">
        <f t="shared" si="32"/>
        <v>0</v>
      </c>
      <c r="I88" s="24"/>
      <c r="J88" s="23">
        <f t="shared" si="33"/>
        <v>13.916666666666666</v>
      </c>
      <c r="K88" s="23">
        <f t="shared" si="34"/>
        <v>364.2333704579504</v>
      </c>
      <c r="L88" s="23">
        <f t="shared" si="35"/>
        <v>54989.595674571756</v>
      </c>
      <c r="M88" s="23">
        <f t="shared" si="36"/>
        <v>889.46408622366823</v>
      </c>
      <c r="N88" s="23">
        <f t="shared" si="37"/>
        <v>276</v>
      </c>
      <c r="O88" s="23">
        <f t="shared" si="38"/>
        <v>0</v>
      </c>
      <c r="P88" s="23">
        <f t="shared" si="29"/>
        <v>1165.4640862236683</v>
      </c>
      <c r="Q88" s="23">
        <f t="shared" si="39"/>
        <v>1077.2307157657178</v>
      </c>
      <c r="R88" s="23">
        <f t="shared" si="42"/>
        <v>173137.58299670499</v>
      </c>
      <c r="S88" s="25">
        <f t="shared" si="43"/>
        <v>1313.4575261819</v>
      </c>
    </row>
    <row r="89" spans="1:19" x14ac:dyDescent="0.25">
      <c r="A89" t="s">
        <v>133</v>
      </c>
      <c r="B89" s="58">
        <v>46357</v>
      </c>
      <c r="C89" s="22">
        <f t="shared" si="30"/>
        <v>77</v>
      </c>
      <c r="D89" s="23">
        <f t="shared" si="31"/>
        <v>54989.595674571756</v>
      </c>
      <c r="E89" s="23">
        <f t="shared" si="40"/>
        <v>171.84248648303671</v>
      </c>
      <c r="F89" s="23">
        <f t="shared" si="41"/>
        <v>365.3715997406315</v>
      </c>
      <c r="G89" s="52">
        <f t="shared" si="28"/>
        <v>338.33333333333331</v>
      </c>
      <c r="H89" s="23">
        <f t="shared" si="32"/>
        <v>0</v>
      </c>
      <c r="I89" s="24"/>
      <c r="J89" s="23">
        <f t="shared" si="33"/>
        <v>13.916666666666666</v>
      </c>
      <c r="K89" s="23">
        <f t="shared" si="34"/>
        <v>365.3715997406315</v>
      </c>
      <c r="L89" s="23">
        <f t="shared" si="35"/>
        <v>54624.224074831123</v>
      </c>
      <c r="M89" s="23">
        <f t="shared" si="36"/>
        <v>889.46408622366823</v>
      </c>
      <c r="N89" s="23">
        <f t="shared" si="37"/>
        <v>276</v>
      </c>
      <c r="O89" s="23">
        <f t="shared" si="38"/>
        <v>0</v>
      </c>
      <c r="P89" s="23">
        <f t="shared" si="29"/>
        <v>1165.4640862236683</v>
      </c>
      <c r="Q89" s="23">
        <f t="shared" si="39"/>
        <v>1076.0924864830367</v>
      </c>
      <c r="R89" s="23">
        <f t="shared" si="42"/>
        <v>173137.58299670499</v>
      </c>
      <c r="S89" s="25">
        <f t="shared" si="43"/>
        <v>1313.4575261819</v>
      </c>
    </row>
    <row r="90" spans="1:19" x14ac:dyDescent="0.25">
      <c r="A90" t="s">
        <v>134</v>
      </c>
      <c r="B90" s="58">
        <v>46388</v>
      </c>
      <c r="C90" s="22">
        <f t="shared" si="30"/>
        <v>78</v>
      </c>
      <c r="D90" s="23">
        <f t="shared" si="31"/>
        <v>54624.224074831123</v>
      </c>
      <c r="E90" s="23">
        <f t="shared" si="40"/>
        <v>170.70070023384724</v>
      </c>
      <c r="F90" s="23">
        <f t="shared" si="41"/>
        <v>366.51338598982102</v>
      </c>
      <c r="G90" s="52">
        <f t="shared" si="28"/>
        <v>338.33333333333331</v>
      </c>
      <c r="H90" s="23">
        <f t="shared" si="32"/>
        <v>0</v>
      </c>
      <c r="I90" s="24"/>
      <c r="J90" s="23">
        <f t="shared" si="33"/>
        <v>13.916666666666666</v>
      </c>
      <c r="K90" s="23">
        <f t="shared" si="34"/>
        <v>366.51338598982102</v>
      </c>
      <c r="L90" s="23">
        <f t="shared" si="35"/>
        <v>54257.710688841304</v>
      </c>
      <c r="M90" s="23">
        <f t="shared" si="36"/>
        <v>889.46408622366823</v>
      </c>
      <c r="N90" s="23">
        <f t="shared" si="37"/>
        <v>276</v>
      </c>
      <c r="O90" s="23">
        <f t="shared" si="38"/>
        <v>0</v>
      </c>
      <c r="P90" s="23">
        <f t="shared" si="29"/>
        <v>1165.4640862236683</v>
      </c>
      <c r="Q90" s="23">
        <f t="shared" si="39"/>
        <v>1074.9507002338473</v>
      </c>
      <c r="R90" s="23">
        <f t="shared" si="42"/>
        <v>173137.58299670499</v>
      </c>
      <c r="S90" s="25">
        <f t="shared" si="43"/>
        <v>1313.4575261819</v>
      </c>
    </row>
    <row r="91" spans="1:19" x14ac:dyDescent="0.25">
      <c r="A91" t="s">
        <v>135</v>
      </c>
      <c r="B91" s="58">
        <v>46419</v>
      </c>
      <c r="C91" s="22">
        <f t="shared" si="30"/>
        <v>79</v>
      </c>
      <c r="D91" s="23">
        <f t="shared" si="31"/>
        <v>54257.710688841304</v>
      </c>
      <c r="E91" s="23">
        <f t="shared" si="40"/>
        <v>169.55534590262906</v>
      </c>
      <c r="F91" s="23">
        <f t="shared" si="41"/>
        <v>367.6587403210392</v>
      </c>
      <c r="G91" s="52">
        <f t="shared" si="28"/>
        <v>338.33333333333331</v>
      </c>
      <c r="H91" s="23">
        <f t="shared" si="32"/>
        <v>0</v>
      </c>
      <c r="I91" s="24"/>
      <c r="J91" s="23">
        <f t="shared" si="33"/>
        <v>13.916666666666666</v>
      </c>
      <c r="K91" s="23">
        <f t="shared" si="34"/>
        <v>367.6587403210392</v>
      </c>
      <c r="L91" s="23">
        <f t="shared" si="35"/>
        <v>53890.051948520268</v>
      </c>
      <c r="M91" s="23">
        <f t="shared" si="36"/>
        <v>889.46408622366823</v>
      </c>
      <c r="N91" s="23">
        <f t="shared" si="37"/>
        <v>276</v>
      </c>
      <c r="O91" s="23">
        <f t="shared" si="38"/>
        <v>0</v>
      </c>
      <c r="P91" s="23">
        <f t="shared" si="29"/>
        <v>1165.4640862236683</v>
      </c>
      <c r="Q91" s="23">
        <f t="shared" si="39"/>
        <v>1073.8053459026291</v>
      </c>
      <c r="R91" s="23">
        <f t="shared" si="42"/>
        <v>173137.58299670499</v>
      </c>
      <c r="S91" s="25">
        <f t="shared" si="43"/>
        <v>1313.4575261819</v>
      </c>
    </row>
    <row r="92" spans="1:19" x14ac:dyDescent="0.25">
      <c r="A92" t="s">
        <v>136</v>
      </c>
      <c r="B92" s="58">
        <v>46447</v>
      </c>
      <c r="C92" s="22">
        <f t="shared" si="30"/>
        <v>80</v>
      </c>
      <c r="D92" s="23">
        <f t="shared" si="31"/>
        <v>53890.051948520268</v>
      </c>
      <c r="E92" s="23">
        <f t="shared" si="40"/>
        <v>168.40641233912584</v>
      </c>
      <c r="F92" s="23">
        <f t="shared" si="41"/>
        <v>368.8076738845424</v>
      </c>
      <c r="G92" s="52">
        <f t="shared" si="28"/>
        <v>338.33333333333331</v>
      </c>
      <c r="H92" s="23">
        <f t="shared" si="32"/>
        <v>0</v>
      </c>
      <c r="I92" s="24"/>
      <c r="J92" s="23">
        <f t="shared" si="33"/>
        <v>13.916666666666666</v>
      </c>
      <c r="K92" s="23">
        <f t="shared" si="34"/>
        <v>368.8076738845424</v>
      </c>
      <c r="L92" s="23">
        <f t="shared" si="35"/>
        <v>53521.244274635726</v>
      </c>
      <c r="M92" s="23">
        <f t="shared" si="36"/>
        <v>889.46408622366823</v>
      </c>
      <c r="N92" s="23">
        <f t="shared" si="37"/>
        <v>276</v>
      </c>
      <c r="O92" s="23">
        <f t="shared" si="38"/>
        <v>0</v>
      </c>
      <c r="P92" s="23">
        <f t="shared" si="29"/>
        <v>1165.4640862236683</v>
      </c>
      <c r="Q92" s="23">
        <f t="shared" si="39"/>
        <v>1072.6564123391258</v>
      </c>
      <c r="R92" s="23">
        <f t="shared" si="42"/>
        <v>173137.58299670499</v>
      </c>
      <c r="S92" s="25">
        <f t="shared" si="43"/>
        <v>1313.4575261819</v>
      </c>
    </row>
    <row r="93" spans="1:19" x14ac:dyDescent="0.25">
      <c r="A93" t="s">
        <v>137</v>
      </c>
      <c r="B93" s="58">
        <v>46478</v>
      </c>
      <c r="C93" s="22">
        <f t="shared" si="30"/>
        <v>81</v>
      </c>
      <c r="D93" s="23">
        <f t="shared" si="31"/>
        <v>53521.244274635726</v>
      </c>
      <c r="E93" s="23">
        <f t="shared" si="40"/>
        <v>167.25388835823662</v>
      </c>
      <c r="F93" s="23">
        <f t="shared" si="41"/>
        <v>369.96019786543161</v>
      </c>
      <c r="G93" s="52">
        <f t="shared" si="28"/>
        <v>338.33333333333331</v>
      </c>
      <c r="H93" s="23">
        <f t="shared" si="32"/>
        <v>0</v>
      </c>
      <c r="I93" s="24"/>
      <c r="J93" s="23">
        <f t="shared" si="33"/>
        <v>13.916666666666666</v>
      </c>
      <c r="K93" s="23">
        <f t="shared" si="34"/>
        <v>369.96019786543161</v>
      </c>
      <c r="L93" s="23">
        <f t="shared" si="35"/>
        <v>53151.284076770295</v>
      </c>
      <c r="M93" s="23">
        <f t="shared" si="36"/>
        <v>889.46408622366823</v>
      </c>
      <c r="N93" s="23">
        <f t="shared" si="37"/>
        <v>276</v>
      </c>
      <c r="O93" s="23">
        <f t="shared" si="38"/>
        <v>0</v>
      </c>
      <c r="P93" s="23">
        <f t="shared" si="29"/>
        <v>1165.4640862236683</v>
      </c>
      <c r="Q93" s="23">
        <f t="shared" si="39"/>
        <v>1071.5038883582367</v>
      </c>
      <c r="R93" s="23">
        <f t="shared" si="42"/>
        <v>173137.58299670499</v>
      </c>
      <c r="S93" s="25">
        <f t="shared" si="43"/>
        <v>1313.4575261819</v>
      </c>
    </row>
    <row r="94" spans="1:19" x14ac:dyDescent="0.25">
      <c r="A94" t="s">
        <v>138</v>
      </c>
      <c r="B94" s="58">
        <v>46508</v>
      </c>
      <c r="C94" s="22">
        <f t="shared" si="30"/>
        <v>82</v>
      </c>
      <c r="D94" s="23">
        <f t="shared" si="31"/>
        <v>53151.284076770295</v>
      </c>
      <c r="E94" s="23">
        <f t="shared" si="40"/>
        <v>166.09776273990715</v>
      </c>
      <c r="F94" s="23">
        <f t="shared" si="41"/>
        <v>371.11632348376111</v>
      </c>
      <c r="G94" s="52">
        <f t="shared" si="28"/>
        <v>338.33333333333331</v>
      </c>
      <c r="H94" s="23">
        <f t="shared" si="32"/>
        <v>0</v>
      </c>
      <c r="I94" s="24"/>
      <c r="J94" s="23">
        <f t="shared" si="33"/>
        <v>13.916666666666666</v>
      </c>
      <c r="K94" s="23">
        <f t="shared" si="34"/>
        <v>371.11632348376111</v>
      </c>
      <c r="L94" s="23">
        <f t="shared" si="35"/>
        <v>52780.167753286536</v>
      </c>
      <c r="M94" s="23">
        <f t="shared" si="36"/>
        <v>889.46408622366823</v>
      </c>
      <c r="N94" s="23">
        <f t="shared" si="37"/>
        <v>276</v>
      </c>
      <c r="O94" s="23">
        <f t="shared" si="38"/>
        <v>0</v>
      </c>
      <c r="P94" s="23">
        <f t="shared" si="29"/>
        <v>1165.4640862236683</v>
      </c>
      <c r="Q94" s="23">
        <f t="shared" si="39"/>
        <v>1070.3477627399072</v>
      </c>
      <c r="R94" s="23">
        <f t="shared" si="42"/>
        <v>173137.58299670499</v>
      </c>
      <c r="S94" s="25">
        <f t="shared" si="43"/>
        <v>1313.4575261819</v>
      </c>
    </row>
    <row r="95" spans="1:19" x14ac:dyDescent="0.25">
      <c r="A95" t="s">
        <v>139</v>
      </c>
      <c r="B95" s="58">
        <v>46539</v>
      </c>
      <c r="C95" s="22">
        <f t="shared" si="30"/>
        <v>83</v>
      </c>
      <c r="D95" s="23">
        <f t="shared" si="31"/>
        <v>52780.167753286536</v>
      </c>
      <c r="E95" s="23">
        <f t="shared" si="40"/>
        <v>164.93802422902041</v>
      </c>
      <c r="F95" s="23">
        <f t="shared" si="41"/>
        <v>372.27606199464782</v>
      </c>
      <c r="G95" s="52">
        <f t="shared" si="28"/>
        <v>338.33333333333331</v>
      </c>
      <c r="H95" s="23">
        <f t="shared" si="32"/>
        <v>0</v>
      </c>
      <c r="I95" s="24"/>
      <c r="J95" s="23">
        <f t="shared" si="33"/>
        <v>13.916666666666666</v>
      </c>
      <c r="K95" s="23">
        <f t="shared" si="34"/>
        <v>372.27606199464782</v>
      </c>
      <c r="L95" s="23">
        <f t="shared" si="35"/>
        <v>52407.891691291887</v>
      </c>
      <c r="M95" s="23">
        <f t="shared" si="36"/>
        <v>889.46408622366812</v>
      </c>
      <c r="N95" s="23">
        <f t="shared" si="37"/>
        <v>276</v>
      </c>
      <c r="O95" s="23">
        <f t="shared" si="38"/>
        <v>0</v>
      </c>
      <c r="P95" s="23">
        <f t="shared" si="29"/>
        <v>1165.4640862236681</v>
      </c>
      <c r="Q95" s="23">
        <f t="shared" si="39"/>
        <v>1069.1880242290204</v>
      </c>
      <c r="R95" s="23">
        <f t="shared" si="42"/>
        <v>173137.58299670499</v>
      </c>
      <c r="S95" s="25">
        <f t="shared" si="43"/>
        <v>1313.4575261819</v>
      </c>
    </row>
    <row r="96" spans="1:19" x14ac:dyDescent="0.25">
      <c r="A96" t="s">
        <v>140</v>
      </c>
      <c r="B96" s="58">
        <v>46569</v>
      </c>
      <c r="C96" s="22">
        <f t="shared" si="30"/>
        <v>84</v>
      </c>
      <c r="D96" s="23">
        <f t="shared" si="31"/>
        <v>52407.891691291887</v>
      </c>
      <c r="E96" s="23">
        <f t="shared" si="40"/>
        <v>163.77466153528712</v>
      </c>
      <c r="F96" s="23">
        <f t="shared" si="41"/>
        <v>373.43942468838111</v>
      </c>
      <c r="G96" s="52">
        <f t="shared" si="28"/>
        <v>338.33333333333331</v>
      </c>
      <c r="H96" s="23">
        <f t="shared" si="32"/>
        <v>0</v>
      </c>
      <c r="I96" s="24"/>
      <c r="J96" s="23">
        <f t="shared" si="33"/>
        <v>13.916666666666666</v>
      </c>
      <c r="K96" s="23">
        <f t="shared" si="34"/>
        <v>373.43942468838111</v>
      </c>
      <c r="L96" s="23">
        <f t="shared" si="35"/>
        <v>52034.452266603505</v>
      </c>
      <c r="M96" s="23">
        <f t="shared" si="36"/>
        <v>889.46408622366823</v>
      </c>
      <c r="N96" s="23">
        <f t="shared" si="37"/>
        <v>276</v>
      </c>
      <c r="O96" s="23">
        <f t="shared" si="38"/>
        <v>0</v>
      </c>
      <c r="P96" s="23">
        <f t="shared" si="29"/>
        <v>1165.4640862236683</v>
      </c>
      <c r="Q96" s="23">
        <f t="shared" si="39"/>
        <v>1068.0246615352871</v>
      </c>
      <c r="R96" s="23">
        <f t="shared" si="42"/>
        <v>173137.58299670499</v>
      </c>
      <c r="S96" s="25">
        <f t="shared" si="43"/>
        <v>1313.4575261819</v>
      </c>
    </row>
    <row r="97" spans="1:19" x14ac:dyDescent="0.25">
      <c r="A97" t="s">
        <v>141</v>
      </c>
      <c r="B97" s="58">
        <v>46600</v>
      </c>
      <c r="C97" s="22">
        <f t="shared" si="30"/>
        <v>85</v>
      </c>
      <c r="D97" s="23">
        <f t="shared" si="31"/>
        <v>52034.452266603505</v>
      </c>
      <c r="E97" s="23">
        <f t="shared" si="40"/>
        <v>162.60766333313595</v>
      </c>
      <c r="F97" s="23">
        <f t="shared" si="41"/>
        <v>374.60642289053226</v>
      </c>
      <c r="G97" s="52">
        <f t="shared" si="28"/>
        <v>338.33333333333331</v>
      </c>
      <c r="H97" s="23">
        <f t="shared" si="32"/>
        <v>0</v>
      </c>
      <c r="I97" s="24"/>
      <c r="J97" s="23">
        <f t="shared" si="33"/>
        <v>13.916666666666666</v>
      </c>
      <c r="K97" s="23">
        <f t="shared" si="34"/>
        <v>374.60642289053226</v>
      </c>
      <c r="L97" s="23">
        <f t="shared" si="35"/>
        <v>51659.845843712974</v>
      </c>
      <c r="M97" s="23">
        <f t="shared" si="36"/>
        <v>889.46408622366823</v>
      </c>
      <c r="N97" s="23">
        <f t="shared" si="37"/>
        <v>276</v>
      </c>
      <c r="O97" s="23">
        <f t="shared" si="38"/>
        <v>0</v>
      </c>
      <c r="P97" s="23">
        <f t="shared" si="29"/>
        <v>1165.4640862236683</v>
      </c>
      <c r="Q97" s="23">
        <f t="shared" si="39"/>
        <v>1066.8576633331361</v>
      </c>
      <c r="R97" s="23">
        <f t="shared" ref="R97:R108" si="44">$R$96+ $R$96*$M$8</f>
        <v>178331.71048660614</v>
      </c>
      <c r="S97" s="25">
        <f t="shared" ref="S97:S108" si="45">$S$96 + ($S$96 * $T$5)</f>
        <v>1352.861251967357</v>
      </c>
    </row>
    <row r="98" spans="1:19" x14ac:dyDescent="0.25">
      <c r="A98" t="s">
        <v>142</v>
      </c>
      <c r="B98" s="58">
        <v>46631</v>
      </c>
      <c r="C98" s="22">
        <f t="shared" si="30"/>
        <v>86</v>
      </c>
      <c r="D98" s="23">
        <f t="shared" si="31"/>
        <v>51659.845843712974</v>
      </c>
      <c r="E98" s="23">
        <f t="shared" si="40"/>
        <v>161.43701826160304</v>
      </c>
      <c r="F98" s="23">
        <f t="shared" si="41"/>
        <v>375.77706796206519</v>
      </c>
      <c r="G98" s="52">
        <f t="shared" si="28"/>
        <v>338.33333333333331</v>
      </c>
      <c r="H98" s="23">
        <f t="shared" si="32"/>
        <v>0</v>
      </c>
      <c r="I98" s="24"/>
      <c r="J98" s="23">
        <f t="shared" si="33"/>
        <v>13.916666666666666</v>
      </c>
      <c r="K98" s="23">
        <f t="shared" si="34"/>
        <v>375.77706796206519</v>
      </c>
      <c r="L98" s="23">
        <f t="shared" si="35"/>
        <v>51284.068775750908</v>
      </c>
      <c r="M98" s="23">
        <f t="shared" si="36"/>
        <v>889.46408622366823</v>
      </c>
      <c r="N98" s="23">
        <f t="shared" si="37"/>
        <v>276</v>
      </c>
      <c r="O98" s="23">
        <f t="shared" si="38"/>
        <v>0</v>
      </c>
      <c r="P98" s="23">
        <f t="shared" si="29"/>
        <v>1165.4640862236683</v>
      </c>
      <c r="Q98" s="23">
        <f t="shared" si="39"/>
        <v>1065.687018261603</v>
      </c>
      <c r="R98" s="23">
        <f t="shared" si="44"/>
        <v>178331.71048660614</v>
      </c>
      <c r="S98" s="25">
        <f t="shared" si="45"/>
        <v>1352.861251967357</v>
      </c>
    </row>
    <row r="99" spans="1:19" x14ac:dyDescent="0.25">
      <c r="A99" t="s">
        <v>143</v>
      </c>
      <c r="B99" s="58">
        <v>46661</v>
      </c>
      <c r="C99" s="22">
        <f t="shared" si="30"/>
        <v>87</v>
      </c>
      <c r="D99" s="23">
        <f t="shared" si="31"/>
        <v>51284.068775750908</v>
      </c>
      <c r="E99" s="23">
        <f t="shared" si="40"/>
        <v>160.26271492422157</v>
      </c>
      <c r="F99" s="23">
        <f t="shared" si="41"/>
        <v>376.95137129944669</v>
      </c>
      <c r="G99" s="52">
        <f t="shared" si="28"/>
        <v>338.33333333333331</v>
      </c>
      <c r="H99" s="23">
        <f t="shared" si="32"/>
        <v>0</v>
      </c>
      <c r="I99" s="24"/>
      <c r="J99" s="23">
        <f t="shared" si="33"/>
        <v>13.916666666666666</v>
      </c>
      <c r="K99" s="23">
        <f t="shared" si="34"/>
        <v>376.95137129944669</v>
      </c>
      <c r="L99" s="23">
        <f t="shared" si="35"/>
        <v>50907.117404451463</v>
      </c>
      <c r="M99" s="23">
        <f t="shared" si="36"/>
        <v>889.46408622366823</v>
      </c>
      <c r="N99" s="23">
        <f t="shared" si="37"/>
        <v>276</v>
      </c>
      <c r="O99" s="23">
        <f t="shared" si="38"/>
        <v>0</v>
      </c>
      <c r="P99" s="23">
        <f t="shared" si="29"/>
        <v>1165.4640862236683</v>
      </c>
      <c r="Q99" s="23">
        <f t="shared" si="39"/>
        <v>1064.5127149242217</v>
      </c>
      <c r="R99" s="23">
        <f t="shared" si="44"/>
        <v>178331.71048660614</v>
      </c>
      <c r="S99" s="25">
        <f t="shared" si="45"/>
        <v>1352.861251967357</v>
      </c>
    </row>
    <row r="100" spans="1:19" x14ac:dyDescent="0.25">
      <c r="A100" t="s">
        <v>144</v>
      </c>
      <c r="B100" s="58">
        <v>46692</v>
      </c>
      <c r="C100" s="22">
        <f t="shared" si="30"/>
        <v>88</v>
      </c>
      <c r="D100" s="23">
        <f t="shared" si="31"/>
        <v>50907.117404451463</v>
      </c>
      <c r="E100" s="23">
        <f t="shared" si="40"/>
        <v>159.0847418889108</v>
      </c>
      <c r="F100" s="23">
        <f t="shared" si="41"/>
        <v>378.12934433475743</v>
      </c>
      <c r="G100" s="52">
        <f t="shared" si="28"/>
        <v>338.33333333333331</v>
      </c>
      <c r="H100" s="23">
        <f t="shared" si="32"/>
        <v>0</v>
      </c>
      <c r="I100" s="24"/>
      <c r="J100" s="23">
        <f t="shared" si="33"/>
        <v>13.916666666666666</v>
      </c>
      <c r="K100" s="23">
        <f t="shared" si="34"/>
        <v>378.12934433475743</v>
      </c>
      <c r="L100" s="23">
        <f t="shared" si="35"/>
        <v>50528.988060116702</v>
      </c>
      <c r="M100" s="23">
        <f t="shared" si="36"/>
        <v>889.46408622366823</v>
      </c>
      <c r="N100" s="23">
        <f t="shared" si="37"/>
        <v>276</v>
      </c>
      <c r="O100" s="23">
        <f t="shared" si="38"/>
        <v>0</v>
      </c>
      <c r="P100" s="23">
        <f t="shared" si="29"/>
        <v>1165.4640862236683</v>
      </c>
      <c r="Q100" s="23">
        <f t="shared" si="39"/>
        <v>1063.3347418889109</v>
      </c>
      <c r="R100" s="23">
        <f t="shared" si="44"/>
        <v>178331.71048660614</v>
      </c>
      <c r="S100" s="25">
        <f t="shared" si="45"/>
        <v>1352.861251967357</v>
      </c>
    </row>
    <row r="101" spans="1:19" x14ac:dyDescent="0.25">
      <c r="A101" t="s">
        <v>145</v>
      </c>
      <c r="B101" s="58">
        <v>46722</v>
      </c>
      <c r="C101" s="22">
        <f t="shared" si="30"/>
        <v>89</v>
      </c>
      <c r="D101" s="23">
        <f t="shared" si="31"/>
        <v>50528.988060116702</v>
      </c>
      <c r="E101" s="23">
        <f t="shared" si="40"/>
        <v>157.90308768786468</v>
      </c>
      <c r="F101" s="23">
        <f t="shared" si="41"/>
        <v>379.31099853580355</v>
      </c>
      <c r="G101" s="52">
        <f t="shared" si="28"/>
        <v>338.33333333333331</v>
      </c>
      <c r="H101" s="23">
        <f t="shared" si="32"/>
        <v>0</v>
      </c>
      <c r="I101" s="24"/>
      <c r="J101" s="23">
        <f t="shared" si="33"/>
        <v>13.916666666666666</v>
      </c>
      <c r="K101" s="23">
        <f t="shared" si="34"/>
        <v>379.31099853580355</v>
      </c>
      <c r="L101" s="23">
        <f t="shared" si="35"/>
        <v>50149.6770615809</v>
      </c>
      <c r="M101" s="23">
        <f t="shared" si="36"/>
        <v>889.46408622366812</v>
      </c>
      <c r="N101" s="23">
        <f t="shared" si="37"/>
        <v>276</v>
      </c>
      <c r="O101" s="23">
        <f t="shared" si="38"/>
        <v>0</v>
      </c>
      <c r="P101" s="23">
        <f t="shared" si="29"/>
        <v>1165.4640862236681</v>
      </c>
      <c r="Q101" s="23">
        <f t="shared" si="39"/>
        <v>1062.1530876878646</v>
      </c>
      <c r="R101" s="23">
        <f t="shared" si="44"/>
        <v>178331.71048660614</v>
      </c>
      <c r="S101" s="25">
        <f t="shared" si="45"/>
        <v>1352.861251967357</v>
      </c>
    </row>
    <row r="102" spans="1:19" x14ac:dyDescent="0.25">
      <c r="A102" t="s">
        <v>146</v>
      </c>
      <c r="B102" s="58">
        <v>46753</v>
      </c>
      <c r="C102" s="22">
        <f t="shared" si="30"/>
        <v>90</v>
      </c>
      <c r="D102" s="23">
        <f t="shared" si="31"/>
        <v>50149.6770615809</v>
      </c>
      <c r="E102" s="23">
        <f t="shared" si="40"/>
        <v>156.7177408174403</v>
      </c>
      <c r="F102" s="23">
        <f t="shared" si="41"/>
        <v>380.49634540622793</v>
      </c>
      <c r="G102" s="52">
        <f t="shared" si="28"/>
        <v>338.33333333333331</v>
      </c>
      <c r="H102" s="23">
        <f t="shared" si="32"/>
        <v>0</v>
      </c>
      <c r="I102" s="24"/>
      <c r="J102" s="23">
        <f t="shared" si="33"/>
        <v>13.916666666666666</v>
      </c>
      <c r="K102" s="23">
        <f t="shared" si="34"/>
        <v>380.49634540622793</v>
      </c>
      <c r="L102" s="23">
        <f t="shared" si="35"/>
        <v>49769.180716174669</v>
      </c>
      <c r="M102" s="23">
        <f t="shared" si="36"/>
        <v>889.46408622366812</v>
      </c>
      <c r="N102" s="23">
        <f t="shared" si="37"/>
        <v>276</v>
      </c>
      <c r="O102" s="23">
        <f t="shared" si="38"/>
        <v>0</v>
      </c>
      <c r="P102" s="23">
        <f t="shared" si="29"/>
        <v>1165.4640862236681</v>
      </c>
      <c r="Q102" s="23">
        <f t="shared" si="39"/>
        <v>1060.9677408174402</v>
      </c>
      <c r="R102" s="23">
        <f t="shared" si="44"/>
        <v>178331.71048660614</v>
      </c>
      <c r="S102" s="25">
        <f t="shared" si="45"/>
        <v>1352.861251967357</v>
      </c>
    </row>
    <row r="103" spans="1:19" x14ac:dyDescent="0.25">
      <c r="A103" t="s">
        <v>147</v>
      </c>
      <c r="B103" s="58">
        <v>46784</v>
      </c>
      <c r="C103" s="22">
        <f t="shared" si="30"/>
        <v>91</v>
      </c>
      <c r="D103" s="23">
        <f t="shared" si="31"/>
        <v>49769.180716174669</v>
      </c>
      <c r="E103" s="23">
        <f t="shared" si="40"/>
        <v>155.52868973804584</v>
      </c>
      <c r="F103" s="23">
        <f t="shared" si="41"/>
        <v>381.68539648562239</v>
      </c>
      <c r="G103" s="52">
        <f t="shared" si="28"/>
        <v>338.33333333333331</v>
      </c>
      <c r="H103" s="23">
        <f t="shared" si="32"/>
        <v>0</v>
      </c>
      <c r="I103" s="24"/>
      <c r="J103" s="23">
        <f t="shared" si="33"/>
        <v>13.916666666666666</v>
      </c>
      <c r="K103" s="23">
        <f t="shared" si="34"/>
        <v>381.68539648562239</v>
      </c>
      <c r="L103" s="23">
        <f t="shared" si="35"/>
        <v>49387.495319689049</v>
      </c>
      <c r="M103" s="23">
        <f t="shared" si="36"/>
        <v>889.46408622366823</v>
      </c>
      <c r="N103" s="23">
        <f t="shared" si="37"/>
        <v>276</v>
      </c>
      <c r="O103" s="23">
        <f t="shared" si="38"/>
        <v>0</v>
      </c>
      <c r="P103" s="23">
        <f t="shared" si="29"/>
        <v>1165.4640862236683</v>
      </c>
      <c r="Q103" s="23">
        <f t="shared" si="39"/>
        <v>1059.7786897380461</v>
      </c>
      <c r="R103" s="23">
        <f t="shared" si="44"/>
        <v>178331.71048660614</v>
      </c>
      <c r="S103" s="25">
        <f t="shared" si="45"/>
        <v>1352.861251967357</v>
      </c>
    </row>
    <row r="104" spans="1:19" x14ac:dyDescent="0.25">
      <c r="A104" t="s">
        <v>148</v>
      </c>
      <c r="B104" s="58">
        <v>46813</v>
      </c>
      <c r="C104" s="22">
        <f t="shared" si="30"/>
        <v>92</v>
      </c>
      <c r="D104" s="23">
        <f t="shared" si="31"/>
        <v>49387.495319689049</v>
      </c>
      <c r="E104" s="23">
        <f t="shared" si="40"/>
        <v>154.33592287402826</v>
      </c>
      <c r="F104" s="23">
        <f t="shared" si="41"/>
        <v>382.87816334963998</v>
      </c>
      <c r="G104" s="52">
        <f t="shared" si="28"/>
        <v>338.33333333333331</v>
      </c>
      <c r="H104" s="23">
        <f t="shared" si="32"/>
        <v>0</v>
      </c>
      <c r="I104" s="24"/>
      <c r="J104" s="23">
        <f t="shared" si="33"/>
        <v>13.916666666666666</v>
      </c>
      <c r="K104" s="23">
        <f t="shared" si="34"/>
        <v>382.87816334963998</v>
      </c>
      <c r="L104" s="23">
        <f t="shared" si="35"/>
        <v>49004.617156339409</v>
      </c>
      <c r="M104" s="23">
        <f t="shared" si="36"/>
        <v>889.46408622366823</v>
      </c>
      <c r="N104" s="23">
        <f t="shared" si="37"/>
        <v>276</v>
      </c>
      <c r="O104" s="23">
        <f t="shared" si="38"/>
        <v>0</v>
      </c>
      <c r="P104" s="23">
        <f t="shared" si="29"/>
        <v>1165.4640862236683</v>
      </c>
      <c r="Q104" s="23">
        <f t="shared" si="39"/>
        <v>1058.5859228740283</v>
      </c>
      <c r="R104" s="23">
        <f t="shared" si="44"/>
        <v>178331.71048660614</v>
      </c>
      <c r="S104" s="25">
        <f t="shared" si="45"/>
        <v>1352.861251967357</v>
      </c>
    </row>
    <row r="105" spans="1:19" x14ac:dyDescent="0.25">
      <c r="A105" t="s">
        <v>149</v>
      </c>
      <c r="B105" s="58">
        <v>46844</v>
      </c>
      <c r="C105" s="22">
        <f t="shared" si="30"/>
        <v>93</v>
      </c>
      <c r="D105" s="23">
        <f t="shared" si="31"/>
        <v>49004.617156339409</v>
      </c>
      <c r="E105" s="23">
        <f t="shared" si="40"/>
        <v>153.13942861356065</v>
      </c>
      <c r="F105" s="23">
        <f t="shared" si="41"/>
        <v>384.07465761010758</v>
      </c>
      <c r="G105" s="52">
        <f t="shared" si="28"/>
        <v>338.33333333333331</v>
      </c>
      <c r="H105" s="23">
        <f t="shared" si="32"/>
        <v>0</v>
      </c>
      <c r="I105" s="24"/>
      <c r="J105" s="23">
        <f t="shared" si="33"/>
        <v>13.916666666666666</v>
      </c>
      <c r="K105" s="23">
        <f t="shared" si="34"/>
        <v>384.07465761010758</v>
      </c>
      <c r="L105" s="23">
        <f t="shared" si="35"/>
        <v>48620.542498729301</v>
      </c>
      <c r="M105" s="23">
        <f t="shared" si="36"/>
        <v>889.46408622366823</v>
      </c>
      <c r="N105" s="23">
        <f t="shared" si="37"/>
        <v>276</v>
      </c>
      <c r="O105" s="23">
        <f t="shared" si="38"/>
        <v>0</v>
      </c>
      <c r="P105" s="23">
        <f t="shared" si="29"/>
        <v>1165.4640862236683</v>
      </c>
      <c r="Q105" s="23">
        <f t="shared" si="39"/>
        <v>1057.3894286135608</v>
      </c>
      <c r="R105" s="23">
        <f t="shared" si="44"/>
        <v>178331.71048660614</v>
      </c>
      <c r="S105" s="25">
        <f t="shared" si="45"/>
        <v>1352.861251967357</v>
      </c>
    </row>
    <row r="106" spans="1:19" x14ac:dyDescent="0.25">
      <c r="A106" t="s">
        <v>150</v>
      </c>
      <c r="B106" s="58">
        <v>46874</v>
      </c>
      <c r="C106" s="22">
        <f t="shared" si="30"/>
        <v>94</v>
      </c>
      <c r="D106" s="23">
        <f t="shared" si="31"/>
        <v>48620.542498729301</v>
      </c>
      <c r="E106" s="23">
        <f t="shared" si="40"/>
        <v>151.93919530852907</v>
      </c>
      <c r="F106" s="23">
        <f t="shared" si="41"/>
        <v>385.27489091513917</v>
      </c>
      <c r="G106" s="52">
        <f t="shared" si="28"/>
        <v>338.33333333333331</v>
      </c>
      <c r="H106" s="23">
        <f t="shared" si="32"/>
        <v>0</v>
      </c>
      <c r="I106" s="24"/>
      <c r="J106" s="23">
        <f t="shared" si="33"/>
        <v>13.916666666666666</v>
      </c>
      <c r="K106" s="23">
        <f t="shared" si="34"/>
        <v>385.27489091513917</v>
      </c>
      <c r="L106" s="23">
        <f t="shared" si="35"/>
        <v>48235.267607814159</v>
      </c>
      <c r="M106" s="23">
        <f t="shared" si="36"/>
        <v>889.46408622366823</v>
      </c>
      <c r="N106" s="23">
        <f t="shared" si="37"/>
        <v>276</v>
      </c>
      <c r="O106" s="23">
        <f t="shared" si="38"/>
        <v>0</v>
      </c>
      <c r="P106" s="23">
        <f t="shared" si="29"/>
        <v>1165.4640862236683</v>
      </c>
      <c r="Q106" s="23">
        <f t="shared" si="39"/>
        <v>1056.1891953085292</v>
      </c>
      <c r="R106" s="23">
        <f t="shared" si="44"/>
        <v>178331.71048660614</v>
      </c>
      <c r="S106" s="25">
        <f t="shared" si="45"/>
        <v>1352.861251967357</v>
      </c>
    </row>
    <row r="107" spans="1:19" x14ac:dyDescent="0.25">
      <c r="A107" t="s">
        <v>151</v>
      </c>
      <c r="B107" s="58">
        <v>46905</v>
      </c>
      <c r="C107" s="22">
        <f t="shared" si="30"/>
        <v>95</v>
      </c>
      <c r="D107" s="23">
        <f t="shared" si="31"/>
        <v>48235.267607814159</v>
      </c>
      <c r="E107" s="23">
        <f t="shared" si="40"/>
        <v>150.73521127441924</v>
      </c>
      <c r="F107" s="23">
        <f t="shared" si="41"/>
        <v>386.47887494924896</v>
      </c>
      <c r="G107" s="52">
        <f t="shared" si="28"/>
        <v>338.33333333333331</v>
      </c>
      <c r="H107" s="23">
        <f t="shared" si="32"/>
        <v>0</v>
      </c>
      <c r="I107" s="24"/>
      <c r="J107" s="23">
        <f t="shared" si="33"/>
        <v>13.916666666666666</v>
      </c>
      <c r="K107" s="23">
        <f t="shared" si="34"/>
        <v>386.47887494924896</v>
      </c>
      <c r="L107" s="23">
        <f t="shared" si="35"/>
        <v>47848.788732864909</v>
      </c>
      <c r="M107" s="23">
        <f t="shared" si="36"/>
        <v>889.46408622366823</v>
      </c>
      <c r="N107" s="23">
        <f t="shared" si="37"/>
        <v>276</v>
      </c>
      <c r="O107" s="23">
        <f t="shared" si="38"/>
        <v>0</v>
      </c>
      <c r="P107" s="23">
        <f t="shared" si="29"/>
        <v>1165.4640862236683</v>
      </c>
      <c r="Q107" s="23">
        <f t="shared" si="39"/>
        <v>1054.9852112744193</v>
      </c>
      <c r="R107" s="23">
        <f t="shared" si="44"/>
        <v>178331.71048660614</v>
      </c>
      <c r="S107" s="25">
        <f t="shared" si="45"/>
        <v>1352.861251967357</v>
      </c>
    </row>
    <row r="108" spans="1:19" x14ac:dyDescent="0.25">
      <c r="A108" t="s">
        <v>152</v>
      </c>
      <c r="B108" s="58">
        <v>46935</v>
      </c>
      <c r="C108" s="22">
        <f t="shared" si="30"/>
        <v>96</v>
      </c>
      <c r="D108" s="23">
        <f t="shared" si="31"/>
        <v>47848.788732864909</v>
      </c>
      <c r="E108" s="23">
        <f t="shared" si="40"/>
        <v>149.52746479020283</v>
      </c>
      <c r="F108" s="23">
        <f t="shared" si="41"/>
        <v>387.6866214334654</v>
      </c>
      <c r="G108" s="52">
        <f t="shared" si="28"/>
        <v>338.33333333333331</v>
      </c>
      <c r="H108" s="23">
        <f t="shared" si="32"/>
        <v>0</v>
      </c>
      <c r="I108" s="24"/>
      <c r="J108" s="23">
        <f t="shared" si="33"/>
        <v>13.916666666666666</v>
      </c>
      <c r="K108" s="23">
        <f t="shared" si="34"/>
        <v>387.6866214334654</v>
      </c>
      <c r="L108" s="23">
        <f t="shared" si="35"/>
        <v>47461.102111431443</v>
      </c>
      <c r="M108" s="23">
        <f t="shared" si="36"/>
        <v>889.46408622366835</v>
      </c>
      <c r="N108" s="23">
        <f t="shared" si="37"/>
        <v>276</v>
      </c>
      <c r="O108" s="23">
        <f t="shared" si="38"/>
        <v>0</v>
      </c>
      <c r="P108" s="23">
        <f t="shared" si="29"/>
        <v>1165.4640862236683</v>
      </c>
      <c r="Q108" s="23">
        <f t="shared" si="39"/>
        <v>1053.7774647902029</v>
      </c>
      <c r="R108" s="23">
        <f t="shared" si="44"/>
        <v>178331.71048660614</v>
      </c>
      <c r="S108" s="25">
        <f t="shared" si="45"/>
        <v>1352.861251967357</v>
      </c>
    </row>
    <row r="109" spans="1:19" x14ac:dyDescent="0.25">
      <c r="A109" t="s">
        <v>153</v>
      </c>
      <c r="B109" s="58">
        <v>46966</v>
      </c>
      <c r="C109" s="22">
        <f t="shared" si="30"/>
        <v>97</v>
      </c>
      <c r="D109" s="23">
        <f t="shared" si="31"/>
        <v>47461.102111431443</v>
      </c>
      <c r="E109" s="23">
        <f t="shared" si="40"/>
        <v>148.31594409822324</v>
      </c>
      <c r="F109" s="23">
        <f t="shared" si="41"/>
        <v>388.89814212544502</v>
      </c>
      <c r="G109" s="52">
        <f t="shared" si="28"/>
        <v>338.33333333333331</v>
      </c>
      <c r="H109" s="23">
        <f t="shared" si="32"/>
        <v>0</v>
      </c>
      <c r="I109" s="24"/>
      <c r="J109" s="23">
        <f t="shared" si="33"/>
        <v>13.916666666666666</v>
      </c>
      <c r="K109" s="23">
        <f t="shared" si="34"/>
        <v>388.89814212544502</v>
      </c>
      <c r="L109" s="23">
        <f t="shared" si="35"/>
        <v>47072.203969306</v>
      </c>
      <c r="M109" s="23">
        <f t="shared" si="36"/>
        <v>889.46408622366823</v>
      </c>
      <c r="N109" s="23">
        <f t="shared" si="37"/>
        <v>276</v>
      </c>
      <c r="O109" s="23">
        <f t="shared" si="38"/>
        <v>0</v>
      </c>
      <c r="P109" s="23">
        <f t="shared" si="29"/>
        <v>1165.4640862236683</v>
      </c>
      <c r="Q109" s="23">
        <f t="shared" si="39"/>
        <v>1052.5659440982233</v>
      </c>
      <c r="R109" s="23">
        <f t="shared" ref="R109:R120" si="46">$R$108+ $R$108*$M$8</f>
        <v>183681.66180120432</v>
      </c>
      <c r="S109" s="25">
        <f t="shared" ref="S109:S120" si="47">$S$108 + ($S$108 * $T$5)</f>
        <v>1393.4470895263778</v>
      </c>
    </row>
    <row r="110" spans="1:19" x14ac:dyDescent="0.25">
      <c r="A110" t="s">
        <v>154</v>
      </c>
      <c r="B110" s="58">
        <v>46997</v>
      </c>
      <c r="C110" s="22">
        <f t="shared" si="30"/>
        <v>98</v>
      </c>
      <c r="D110" s="23">
        <f t="shared" si="31"/>
        <v>47072.203969306</v>
      </c>
      <c r="E110" s="23">
        <f t="shared" si="40"/>
        <v>147.10063740408123</v>
      </c>
      <c r="F110" s="23">
        <f t="shared" si="41"/>
        <v>390.11344881958701</v>
      </c>
      <c r="G110" s="52">
        <f t="shared" si="28"/>
        <v>338.33333333333331</v>
      </c>
      <c r="H110" s="23">
        <f t="shared" si="32"/>
        <v>0</v>
      </c>
      <c r="I110" s="24"/>
      <c r="J110" s="23">
        <f t="shared" si="33"/>
        <v>13.916666666666666</v>
      </c>
      <c r="K110" s="23">
        <f t="shared" si="34"/>
        <v>390.11344881958701</v>
      </c>
      <c r="L110" s="23">
        <f t="shared" si="35"/>
        <v>46682.09052048641</v>
      </c>
      <c r="M110" s="23">
        <f t="shared" si="36"/>
        <v>889.46408622366823</v>
      </c>
      <c r="N110" s="23">
        <f t="shared" si="37"/>
        <v>276</v>
      </c>
      <c r="O110" s="23">
        <f t="shared" si="38"/>
        <v>0</v>
      </c>
      <c r="P110" s="23">
        <f t="shared" si="29"/>
        <v>1165.4640862236683</v>
      </c>
      <c r="Q110" s="23">
        <f t="shared" si="39"/>
        <v>1051.3506374040812</v>
      </c>
      <c r="R110" s="23">
        <f t="shared" si="46"/>
        <v>183681.66180120432</v>
      </c>
      <c r="S110" s="25">
        <f t="shared" si="47"/>
        <v>1393.4470895263778</v>
      </c>
    </row>
    <row r="111" spans="1:19" x14ac:dyDescent="0.25">
      <c r="A111" t="s">
        <v>155</v>
      </c>
      <c r="B111" s="58">
        <v>47027</v>
      </c>
      <c r="C111" s="22">
        <f t="shared" si="30"/>
        <v>99</v>
      </c>
      <c r="D111" s="23">
        <f t="shared" si="31"/>
        <v>46682.09052048641</v>
      </c>
      <c r="E111" s="23">
        <f t="shared" si="40"/>
        <v>145.88153287652003</v>
      </c>
      <c r="F111" s="23">
        <f t="shared" si="41"/>
        <v>391.33255334714818</v>
      </c>
      <c r="G111" s="52">
        <f t="shared" si="28"/>
        <v>338.33333333333331</v>
      </c>
      <c r="H111" s="23">
        <f t="shared" si="32"/>
        <v>0</v>
      </c>
      <c r="I111" s="24"/>
      <c r="J111" s="23">
        <f t="shared" si="33"/>
        <v>13.916666666666666</v>
      </c>
      <c r="K111" s="23">
        <f t="shared" si="34"/>
        <v>391.33255334714818</v>
      </c>
      <c r="L111" s="23">
        <f t="shared" si="35"/>
        <v>46290.75796713926</v>
      </c>
      <c r="M111" s="23">
        <f t="shared" si="36"/>
        <v>889.46408622366823</v>
      </c>
      <c r="N111" s="23">
        <f t="shared" si="37"/>
        <v>276</v>
      </c>
      <c r="O111" s="23">
        <f t="shared" si="38"/>
        <v>0</v>
      </c>
      <c r="P111" s="23">
        <f t="shared" si="29"/>
        <v>1165.4640862236683</v>
      </c>
      <c r="Q111" s="23">
        <f t="shared" si="39"/>
        <v>1050.1315328765202</v>
      </c>
      <c r="R111" s="23">
        <f t="shared" si="46"/>
        <v>183681.66180120432</v>
      </c>
      <c r="S111" s="25">
        <f t="shared" si="47"/>
        <v>1393.4470895263778</v>
      </c>
    </row>
    <row r="112" spans="1:19" x14ac:dyDescent="0.25">
      <c r="A112" t="s">
        <v>156</v>
      </c>
      <c r="B112" s="58">
        <v>47058</v>
      </c>
      <c r="C112" s="22">
        <f t="shared" si="30"/>
        <v>100</v>
      </c>
      <c r="D112" s="23">
        <f t="shared" si="31"/>
        <v>46290.75796713926</v>
      </c>
      <c r="E112" s="23">
        <f t="shared" si="40"/>
        <v>144.65861864731016</v>
      </c>
      <c r="F112" s="23">
        <f t="shared" si="41"/>
        <v>392.55546757635807</v>
      </c>
      <c r="G112" s="52">
        <f t="shared" si="28"/>
        <v>338.33333333333331</v>
      </c>
      <c r="H112" s="23">
        <f t="shared" si="32"/>
        <v>0</v>
      </c>
      <c r="I112" s="24"/>
      <c r="J112" s="23">
        <f t="shared" si="33"/>
        <v>13.916666666666666</v>
      </c>
      <c r="K112" s="23">
        <f t="shared" si="34"/>
        <v>392.55546757635807</v>
      </c>
      <c r="L112" s="23">
        <f t="shared" si="35"/>
        <v>45898.202499562904</v>
      </c>
      <c r="M112" s="23">
        <f t="shared" si="36"/>
        <v>889.46408622366823</v>
      </c>
      <c r="N112" s="23">
        <f t="shared" si="37"/>
        <v>276</v>
      </c>
      <c r="O112" s="23">
        <f t="shared" si="38"/>
        <v>0</v>
      </c>
      <c r="P112" s="23">
        <f t="shared" si="29"/>
        <v>1165.4640862236683</v>
      </c>
      <c r="Q112" s="23">
        <f t="shared" si="39"/>
        <v>1048.9086186473103</v>
      </c>
      <c r="R112" s="23">
        <f t="shared" si="46"/>
        <v>183681.66180120432</v>
      </c>
      <c r="S112" s="25">
        <f t="shared" si="47"/>
        <v>1393.4470895263778</v>
      </c>
    </row>
    <row r="113" spans="1:19" x14ac:dyDescent="0.25">
      <c r="A113" t="s">
        <v>157</v>
      </c>
      <c r="B113" s="58">
        <v>47088</v>
      </c>
      <c r="C113" s="22">
        <f t="shared" si="30"/>
        <v>101</v>
      </c>
      <c r="D113" s="23">
        <f t="shared" si="31"/>
        <v>45898.202499562904</v>
      </c>
      <c r="E113" s="23">
        <f t="shared" si="40"/>
        <v>143.43188281113407</v>
      </c>
      <c r="F113" s="23">
        <f t="shared" si="41"/>
        <v>393.78220341253416</v>
      </c>
      <c r="G113" s="52">
        <f t="shared" si="28"/>
        <v>338.33333333333331</v>
      </c>
      <c r="H113" s="23">
        <f t="shared" si="32"/>
        <v>0</v>
      </c>
      <c r="I113" s="24"/>
      <c r="J113" s="23">
        <f t="shared" si="33"/>
        <v>13.916666666666666</v>
      </c>
      <c r="K113" s="23">
        <f t="shared" si="34"/>
        <v>393.78220341253416</v>
      </c>
      <c r="L113" s="23">
        <f t="shared" si="35"/>
        <v>45504.420296150369</v>
      </c>
      <c r="M113" s="23">
        <f t="shared" si="36"/>
        <v>889.46408622366823</v>
      </c>
      <c r="N113" s="23">
        <f t="shared" si="37"/>
        <v>276</v>
      </c>
      <c r="O113" s="23">
        <f t="shared" si="38"/>
        <v>0</v>
      </c>
      <c r="P113" s="23">
        <f t="shared" si="29"/>
        <v>1165.4640862236683</v>
      </c>
      <c r="Q113" s="23">
        <f t="shared" si="39"/>
        <v>1047.6818828111341</v>
      </c>
      <c r="R113" s="23">
        <f t="shared" si="46"/>
        <v>183681.66180120432</v>
      </c>
      <c r="S113" s="25">
        <f t="shared" si="47"/>
        <v>1393.4470895263778</v>
      </c>
    </row>
    <row r="114" spans="1:19" x14ac:dyDescent="0.25">
      <c r="A114" t="s">
        <v>158</v>
      </c>
      <c r="B114" s="58">
        <v>47119</v>
      </c>
      <c r="C114" s="22">
        <f t="shared" si="30"/>
        <v>102</v>
      </c>
      <c r="D114" s="23">
        <f t="shared" si="31"/>
        <v>45504.420296150369</v>
      </c>
      <c r="E114" s="23">
        <f t="shared" si="40"/>
        <v>142.20131342546989</v>
      </c>
      <c r="F114" s="23">
        <f t="shared" si="41"/>
        <v>395.01277279819834</v>
      </c>
      <c r="G114" s="52">
        <f t="shared" si="28"/>
        <v>338.33333333333331</v>
      </c>
      <c r="H114" s="23">
        <f t="shared" si="32"/>
        <v>0</v>
      </c>
      <c r="I114" s="24"/>
      <c r="J114" s="23">
        <f t="shared" si="33"/>
        <v>13.916666666666666</v>
      </c>
      <c r="K114" s="23">
        <f t="shared" si="34"/>
        <v>395.01277279819834</v>
      </c>
      <c r="L114" s="23">
        <f t="shared" si="35"/>
        <v>45109.407523352173</v>
      </c>
      <c r="M114" s="23">
        <f t="shared" si="36"/>
        <v>889.46408622366812</v>
      </c>
      <c r="N114" s="23">
        <f t="shared" si="37"/>
        <v>276</v>
      </c>
      <c r="O114" s="23">
        <f t="shared" si="38"/>
        <v>0</v>
      </c>
      <c r="P114" s="23">
        <f t="shared" si="29"/>
        <v>1165.4640862236681</v>
      </c>
      <c r="Q114" s="23">
        <f t="shared" si="39"/>
        <v>1046.4513134254698</v>
      </c>
      <c r="R114" s="23">
        <f t="shared" si="46"/>
        <v>183681.66180120432</v>
      </c>
      <c r="S114" s="25">
        <f t="shared" si="47"/>
        <v>1393.4470895263778</v>
      </c>
    </row>
    <row r="115" spans="1:19" x14ac:dyDescent="0.25">
      <c r="A115" t="s">
        <v>159</v>
      </c>
      <c r="B115" s="58">
        <v>47150</v>
      </c>
      <c r="C115" s="22">
        <f t="shared" si="30"/>
        <v>103</v>
      </c>
      <c r="D115" s="23">
        <f t="shared" si="31"/>
        <v>45109.407523352173</v>
      </c>
      <c r="E115" s="23">
        <f t="shared" si="40"/>
        <v>140.96689851047552</v>
      </c>
      <c r="F115" s="23">
        <f t="shared" si="41"/>
        <v>396.24718771319272</v>
      </c>
      <c r="G115" s="52">
        <f t="shared" si="28"/>
        <v>338.33333333333331</v>
      </c>
      <c r="H115" s="23">
        <f t="shared" si="32"/>
        <v>0</v>
      </c>
      <c r="I115" s="24"/>
      <c r="J115" s="23">
        <f t="shared" si="33"/>
        <v>13.916666666666666</v>
      </c>
      <c r="K115" s="23">
        <f t="shared" si="34"/>
        <v>396.24718771319272</v>
      </c>
      <c r="L115" s="23">
        <f t="shared" si="35"/>
        <v>44713.160335638982</v>
      </c>
      <c r="M115" s="23">
        <f t="shared" si="36"/>
        <v>889.46408622366823</v>
      </c>
      <c r="N115" s="23">
        <f t="shared" si="37"/>
        <v>276</v>
      </c>
      <c r="O115" s="23">
        <f t="shared" si="38"/>
        <v>0</v>
      </c>
      <c r="P115" s="23">
        <f t="shared" si="29"/>
        <v>1165.4640862236683</v>
      </c>
      <c r="Q115" s="23">
        <f t="shared" si="39"/>
        <v>1045.2168985104756</v>
      </c>
      <c r="R115" s="23">
        <f t="shared" si="46"/>
        <v>183681.66180120432</v>
      </c>
      <c r="S115" s="25">
        <f t="shared" si="47"/>
        <v>1393.4470895263778</v>
      </c>
    </row>
    <row r="116" spans="1:19" x14ac:dyDescent="0.25">
      <c r="A116" t="s">
        <v>160</v>
      </c>
      <c r="B116" s="58">
        <v>47178</v>
      </c>
      <c r="C116" s="22">
        <f t="shared" si="30"/>
        <v>104</v>
      </c>
      <c r="D116" s="23">
        <f t="shared" si="31"/>
        <v>44713.160335638982</v>
      </c>
      <c r="E116" s="23">
        <f t="shared" si="40"/>
        <v>139.7286260488718</v>
      </c>
      <c r="F116" s="23">
        <f t="shared" si="41"/>
        <v>397.48546017479646</v>
      </c>
      <c r="G116" s="52">
        <f t="shared" si="28"/>
        <v>338.33333333333331</v>
      </c>
      <c r="H116" s="23">
        <f t="shared" si="32"/>
        <v>0</v>
      </c>
      <c r="I116" s="24"/>
      <c r="J116" s="23">
        <f t="shared" si="33"/>
        <v>13.916666666666666</v>
      </c>
      <c r="K116" s="23">
        <f t="shared" si="34"/>
        <v>397.48546017479646</v>
      </c>
      <c r="L116" s="23">
        <f t="shared" si="35"/>
        <v>44315.674875464189</v>
      </c>
      <c r="M116" s="23">
        <f t="shared" si="36"/>
        <v>889.46408622366823</v>
      </c>
      <c r="N116" s="23">
        <f t="shared" si="37"/>
        <v>276</v>
      </c>
      <c r="O116" s="23">
        <f t="shared" si="38"/>
        <v>0</v>
      </c>
      <c r="P116" s="23">
        <f t="shared" si="29"/>
        <v>1165.4640862236683</v>
      </c>
      <c r="Q116" s="23">
        <f t="shared" si="39"/>
        <v>1043.9786260488718</v>
      </c>
      <c r="R116" s="23">
        <f t="shared" si="46"/>
        <v>183681.66180120432</v>
      </c>
      <c r="S116" s="25">
        <f t="shared" si="47"/>
        <v>1393.4470895263778</v>
      </c>
    </row>
    <row r="117" spans="1:19" x14ac:dyDescent="0.25">
      <c r="A117" t="s">
        <v>161</v>
      </c>
      <c r="B117" s="58">
        <v>47209</v>
      </c>
      <c r="C117" s="22">
        <f t="shared" si="30"/>
        <v>105</v>
      </c>
      <c r="D117" s="23">
        <f t="shared" si="31"/>
        <v>44315.674875464189</v>
      </c>
      <c r="E117" s="23">
        <f t="shared" si="40"/>
        <v>138.48648398582557</v>
      </c>
      <c r="F117" s="23">
        <f t="shared" si="41"/>
        <v>398.72760223784269</v>
      </c>
      <c r="G117" s="52">
        <f t="shared" si="28"/>
        <v>338.33333333333331</v>
      </c>
      <c r="H117" s="23">
        <f t="shared" si="32"/>
        <v>0</v>
      </c>
      <c r="I117" s="24"/>
      <c r="J117" s="23">
        <f t="shared" si="33"/>
        <v>13.916666666666666</v>
      </c>
      <c r="K117" s="23">
        <f t="shared" si="34"/>
        <v>398.72760223784269</v>
      </c>
      <c r="L117" s="23">
        <f t="shared" si="35"/>
        <v>43916.947273226346</v>
      </c>
      <c r="M117" s="23">
        <f t="shared" si="36"/>
        <v>889.46408622366823</v>
      </c>
      <c r="N117" s="23">
        <f t="shared" si="37"/>
        <v>276</v>
      </c>
      <c r="O117" s="23">
        <f t="shared" si="38"/>
        <v>0</v>
      </c>
      <c r="P117" s="23">
        <f t="shared" si="29"/>
        <v>1165.4640862236683</v>
      </c>
      <c r="Q117" s="23">
        <f t="shared" si="39"/>
        <v>1042.7364839858255</v>
      </c>
      <c r="R117" s="23">
        <f t="shared" si="46"/>
        <v>183681.66180120432</v>
      </c>
      <c r="S117" s="25">
        <f t="shared" si="47"/>
        <v>1393.4470895263778</v>
      </c>
    </row>
    <row r="118" spans="1:19" x14ac:dyDescent="0.25">
      <c r="A118" t="s">
        <v>162</v>
      </c>
      <c r="B118" s="58">
        <v>47239</v>
      </c>
      <c r="C118" s="22">
        <f t="shared" si="30"/>
        <v>106</v>
      </c>
      <c r="D118" s="23">
        <f t="shared" si="31"/>
        <v>43916.947273226346</v>
      </c>
      <c r="E118" s="23">
        <f t="shared" si="40"/>
        <v>137.24046022883232</v>
      </c>
      <c r="F118" s="23">
        <f t="shared" si="41"/>
        <v>399.97362599483591</v>
      </c>
      <c r="G118" s="52">
        <f t="shared" si="28"/>
        <v>338.33333333333331</v>
      </c>
      <c r="H118" s="23">
        <f t="shared" si="32"/>
        <v>0</v>
      </c>
      <c r="I118" s="24"/>
      <c r="J118" s="23">
        <f t="shared" si="33"/>
        <v>13.916666666666666</v>
      </c>
      <c r="K118" s="23">
        <f t="shared" si="34"/>
        <v>399.97362599483591</v>
      </c>
      <c r="L118" s="23">
        <f t="shared" si="35"/>
        <v>43516.973647231513</v>
      </c>
      <c r="M118" s="23">
        <f t="shared" si="36"/>
        <v>889.46408622366812</v>
      </c>
      <c r="N118" s="23">
        <f t="shared" si="37"/>
        <v>276</v>
      </c>
      <c r="O118" s="23">
        <f t="shared" si="38"/>
        <v>0</v>
      </c>
      <c r="P118" s="23">
        <f t="shared" si="29"/>
        <v>1165.4640862236681</v>
      </c>
      <c r="Q118" s="23">
        <f t="shared" si="39"/>
        <v>1041.4904602288323</v>
      </c>
      <c r="R118" s="23">
        <f t="shared" si="46"/>
        <v>183681.66180120432</v>
      </c>
      <c r="S118" s="25">
        <f t="shared" si="47"/>
        <v>1393.4470895263778</v>
      </c>
    </row>
    <row r="119" spans="1:19" x14ac:dyDescent="0.25">
      <c r="A119" t="s">
        <v>163</v>
      </c>
      <c r="B119" s="58">
        <v>47270</v>
      </c>
      <c r="C119" s="22">
        <f t="shared" si="30"/>
        <v>107</v>
      </c>
      <c r="D119" s="23">
        <f t="shared" si="31"/>
        <v>43516.973647231513</v>
      </c>
      <c r="E119" s="23">
        <f t="shared" si="40"/>
        <v>135.99054264759846</v>
      </c>
      <c r="F119" s="23">
        <f t="shared" si="41"/>
        <v>401.2235435760698</v>
      </c>
      <c r="G119" s="52">
        <f t="shared" si="28"/>
        <v>338.33333333333331</v>
      </c>
      <c r="H119" s="23">
        <f t="shared" si="32"/>
        <v>0</v>
      </c>
      <c r="I119" s="24"/>
      <c r="J119" s="23">
        <f t="shared" si="33"/>
        <v>13.916666666666666</v>
      </c>
      <c r="K119" s="23">
        <f t="shared" si="34"/>
        <v>401.2235435760698</v>
      </c>
      <c r="L119" s="23">
        <f t="shared" si="35"/>
        <v>43115.750103655446</v>
      </c>
      <c r="M119" s="23">
        <f t="shared" si="36"/>
        <v>889.46408622366823</v>
      </c>
      <c r="N119" s="23">
        <f t="shared" si="37"/>
        <v>276</v>
      </c>
      <c r="O119" s="23">
        <f t="shared" si="38"/>
        <v>0</v>
      </c>
      <c r="P119" s="23">
        <f t="shared" si="29"/>
        <v>1165.4640862236683</v>
      </c>
      <c r="Q119" s="23">
        <f t="shared" si="39"/>
        <v>1040.2405426475984</v>
      </c>
      <c r="R119" s="23">
        <f t="shared" si="46"/>
        <v>183681.66180120432</v>
      </c>
      <c r="S119" s="25">
        <f t="shared" si="47"/>
        <v>1393.4470895263778</v>
      </c>
    </row>
    <row r="120" spans="1:19" x14ac:dyDescent="0.25">
      <c r="A120" t="s">
        <v>164</v>
      </c>
      <c r="B120" s="58">
        <v>47300</v>
      </c>
      <c r="C120" s="22">
        <f t="shared" si="30"/>
        <v>108</v>
      </c>
      <c r="D120" s="23">
        <f t="shared" si="31"/>
        <v>43115.750103655446</v>
      </c>
      <c r="E120" s="23">
        <f t="shared" si="40"/>
        <v>134.73671907392327</v>
      </c>
      <c r="F120" s="23">
        <f t="shared" si="41"/>
        <v>402.47736714974496</v>
      </c>
      <c r="G120" s="52">
        <f t="shared" si="28"/>
        <v>338.33333333333331</v>
      </c>
      <c r="H120" s="23">
        <f t="shared" si="32"/>
        <v>0</v>
      </c>
      <c r="I120" s="24"/>
      <c r="J120" s="23">
        <f t="shared" si="33"/>
        <v>13.916666666666666</v>
      </c>
      <c r="K120" s="23">
        <f t="shared" si="34"/>
        <v>402.47736714974496</v>
      </c>
      <c r="L120" s="23">
        <f t="shared" si="35"/>
        <v>42713.2727365057</v>
      </c>
      <c r="M120" s="23">
        <f t="shared" si="36"/>
        <v>889.46408622366823</v>
      </c>
      <c r="N120" s="23">
        <f t="shared" si="37"/>
        <v>276</v>
      </c>
      <c r="O120" s="23">
        <f t="shared" si="38"/>
        <v>0</v>
      </c>
      <c r="P120" s="23">
        <f t="shared" si="29"/>
        <v>1165.4640862236683</v>
      </c>
      <c r="Q120" s="23">
        <f t="shared" si="39"/>
        <v>1038.9867190739233</v>
      </c>
      <c r="R120" s="23">
        <f t="shared" si="46"/>
        <v>183681.66180120432</v>
      </c>
      <c r="S120" s="25">
        <f t="shared" si="47"/>
        <v>1393.4470895263778</v>
      </c>
    </row>
    <row r="121" spans="1:19" x14ac:dyDescent="0.25">
      <c r="A121" t="s">
        <v>165</v>
      </c>
      <c r="B121" s="58">
        <v>47331</v>
      </c>
      <c r="C121" s="22">
        <f t="shared" si="30"/>
        <v>109</v>
      </c>
      <c r="D121" s="23">
        <f t="shared" si="31"/>
        <v>42713.2727365057</v>
      </c>
      <c r="E121" s="23">
        <f t="shared" si="40"/>
        <v>133.4789773015803</v>
      </c>
      <c r="F121" s="23">
        <f t="shared" si="41"/>
        <v>403.73510892208793</v>
      </c>
      <c r="G121" s="52">
        <f t="shared" si="28"/>
        <v>338.33333333333331</v>
      </c>
      <c r="H121" s="23">
        <f t="shared" si="32"/>
        <v>0</v>
      </c>
      <c r="I121" s="24"/>
      <c r="J121" s="23">
        <f t="shared" si="33"/>
        <v>13.916666666666666</v>
      </c>
      <c r="K121" s="23">
        <f t="shared" si="34"/>
        <v>403.73510892208793</v>
      </c>
      <c r="L121" s="23">
        <f t="shared" si="35"/>
        <v>42309.53762758361</v>
      </c>
      <c r="M121" s="23">
        <f t="shared" si="36"/>
        <v>889.46408622366812</v>
      </c>
      <c r="N121" s="23">
        <f t="shared" si="37"/>
        <v>276</v>
      </c>
      <c r="O121" s="23">
        <f t="shared" si="38"/>
        <v>0</v>
      </c>
      <c r="P121" s="23">
        <f t="shared" si="29"/>
        <v>1165.4640862236681</v>
      </c>
      <c r="Q121" s="23">
        <f t="shared" si="39"/>
        <v>1037.7289773015802</v>
      </c>
      <c r="R121" s="23">
        <f t="shared" ref="R121:R132" si="48">$R$120+ $R$120*$M$8</f>
        <v>189192.11165524044</v>
      </c>
      <c r="S121" s="25">
        <f t="shared" ref="S121:S132" si="49">$S$120 + ($S$120 * $T$5)</f>
        <v>1435.2505022121691</v>
      </c>
    </row>
    <row r="122" spans="1:19" x14ac:dyDescent="0.25">
      <c r="A122" t="s">
        <v>166</v>
      </c>
      <c r="B122" s="58">
        <v>47362</v>
      </c>
      <c r="C122" s="22">
        <f t="shared" si="30"/>
        <v>110</v>
      </c>
      <c r="D122" s="23">
        <f t="shared" si="31"/>
        <v>42309.53762758361</v>
      </c>
      <c r="E122" s="23">
        <f t="shared" si="40"/>
        <v>132.21730508619876</v>
      </c>
      <c r="F122" s="23">
        <f t="shared" si="41"/>
        <v>404.9967811374695</v>
      </c>
      <c r="G122" s="52">
        <f t="shared" si="28"/>
        <v>338.33333333333331</v>
      </c>
      <c r="H122" s="23">
        <f t="shared" si="32"/>
        <v>0</v>
      </c>
      <c r="I122" s="24"/>
      <c r="J122" s="23">
        <f t="shared" si="33"/>
        <v>13.916666666666666</v>
      </c>
      <c r="K122" s="23">
        <f t="shared" si="34"/>
        <v>404.9967811374695</v>
      </c>
      <c r="L122" s="23">
        <f t="shared" si="35"/>
        <v>41904.540846446143</v>
      </c>
      <c r="M122" s="23">
        <f t="shared" si="36"/>
        <v>889.46408622366823</v>
      </c>
      <c r="N122" s="23">
        <f t="shared" si="37"/>
        <v>276</v>
      </c>
      <c r="O122" s="23">
        <f t="shared" si="38"/>
        <v>0</v>
      </c>
      <c r="P122" s="23">
        <f t="shared" si="29"/>
        <v>1165.4640862236683</v>
      </c>
      <c r="Q122" s="23">
        <f t="shared" si="39"/>
        <v>1036.4673050861988</v>
      </c>
      <c r="R122" s="23">
        <f t="shared" si="48"/>
        <v>189192.11165524044</v>
      </c>
      <c r="S122" s="25">
        <f t="shared" si="49"/>
        <v>1435.2505022121691</v>
      </c>
    </row>
    <row r="123" spans="1:19" x14ac:dyDescent="0.25">
      <c r="A123" t="s">
        <v>167</v>
      </c>
      <c r="B123" s="58">
        <v>47392</v>
      </c>
      <c r="C123" s="22">
        <f t="shared" si="30"/>
        <v>111</v>
      </c>
      <c r="D123" s="23">
        <f t="shared" si="31"/>
        <v>41904.540846446143</v>
      </c>
      <c r="E123" s="23">
        <f t="shared" si="40"/>
        <v>130.9516901451442</v>
      </c>
      <c r="F123" s="23">
        <f t="shared" si="41"/>
        <v>406.26239607852403</v>
      </c>
      <c r="G123" s="52">
        <f t="shared" si="28"/>
        <v>338.33333333333331</v>
      </c>
      <c r="H123" s="23">
        <f t="shared" si="32"/>
        <v>0</v>
      </c>
      <c r="I123" s="24"/>
      <c r="J123" s="23">
        <f t="shared" si="33"/>
        <v>13.916666666666666</v>
      </c>
      <c r="K123" s="23">
        <f t="shared" si="34"/>
        <v>406.26239607852403</v>
      </c>
      <c r="L123" s="23">
        <f t="shared" si="35"/>
        <v>41498.278450367623</v>
      </c>
      <c r="M123" s="23">
        <f t="shared" si="36"/>
        <v>889.46408622366823</v>
      </c>
      <c r="N123" s="23">
        <f t="shared" si="37"/>
        <v>276</v>
      </c>
      <c r="O123" s="23">
        <f t="shared" si="38"/>
        <v>0</v>
      </c>
      <c r="P123" s="23">
        <f t="shared" si="29"/>
        <v>1165.4640862236683</v>
      </c>
      <c r="Q123" s="23">
        <f t="shared" si="39"/>
        <v>1035.2016901451443</v>
      </c>
      <c r="R123" s="23">
        <f t="shared" si="48"/>
        <v>189192.11165524044</v>
      </c>
      <c r="S123" s="25">
        <f t="shared" si="49"/>
        <v>1435.2505022121691</v>
      </c>
    </row>
    <row r="124" spans="1:19" x14ac:dyDescent="0.25">
      <c r="A124" t="s">
        <v>168</v>
      </c>
      <c r="B124" s="58">
        <v>47423</v>
      </c>
      <c r="C124" s="22">
        <f t="shared" si="30"/>
        <v>112</v>
      </c>
      <c r="D124" s="23">
        <f t="shared" si="31"/>
        <v>41498.278450367623</v>
      </c>
      <c r="E124" s="23">
        <f t="shared" si="40"/>
        <v>129.6821201573988</v>
      </c>
      <c r="F124" s="23">
        <f t="shared" si="41"/>
        <v>407.53196606626943</v>
      </c>
      <c r="G124" s="52">
        <f t="shared" si="28"/>
        <v>338.33333333333331</v>
      </c>
      <c r="H124" s="23">
        <f t="shared" si="32"/>
        <v>0</v>
      </c>
      <c r="I124" s="24"/>
      <c r="J124" s="23">
        <f t="shared" si="33"/>
        <v>13.916666666666666</v>
      </c>
      <c r="K124" s="23">
        <f t="shared" si="34"/>
        <v>407.53196606626943</v>
      </c>
      <c r="L124" s="23">
        <f t="shared" si="35"/>
        <v>41090.746484301351</v>
      </c>
      <c r="M124" s="23">
        <f t="shared" si="36"/>
        <v>889.46408622366823</v>
      </c>
      <c r="N124" s="23">
        <f t="shared" si="37"/>
        <v>276</v>
      </c>
      <c r="O124" s="23">
        <f t="shared" si="38"/>
        <v>0</v>
      </c>
      <c r="P124" s="23">
        <f t="shared" si="29"/>
        <v>1165.4640862236683</v>
      </c>
      <c r="Q124" s="23">
        <f t="shared" si="39"/>
        <v>1033.9321201573989</v>
      </c>
      <c r="R124" s="23">
        <f t="shared" si="48"/>
        <v>189192.11165524044</v>
      </c>
      <c r="S124" s="25">
        <f t="shared" si="49"/>
        <v>1435.2505022121691</v>
      </c>
    </row>
    <row r="125" spans="1:19" x14ac:dyDescent="0.25">
      <c r="A125" t="s">
        <v>169</v>
      </c>
      <c r="B125" s="58">
        <v>47453</v>
      </c>
      <c r="C125" s="22">
        <f t="shared" si="30"/>
        <v>113</v>
      </c>
      <c r="D125" s="23">
        <f t="shared" si="31"/>
        <v>41090.746484301351</v>
      </c>
      <c r="E125" s="23">
        <f t="shared" si="40"/>
        <v>128.4085827634417</v>
      </c>
      <c r="F125" s="23">
        <f t="shared" si="41"/>
        <v>408.80550346022653</v>
      </c>
      <c r="G125" s="52">
        <f t="shared" si="28"/>
        <v>338.33333333333331</v>
      </c>
      <c r="H125" s="23">
        <f t="shared" si="32"/>
        <v>0</v>
      </c>
      <c r="I125" s="24"/>
      <c r="J125" s="23">
        <f t="shared" si="33"/>
        <v>13.916666666666666</v>
      </c>
      <c r="K125" s="23">
        <f t="shared" si="34"/>
        <v>408.80550346022653</v>
      </c>
      <c r="L125" s="23">
        <f t="shared" si="35"/>
        <v>40681.940980841122</v>
      </c>
      <c r="M125" s="23">
        <f t="shared" si="36"/>
        <v>889.46408622366823</v>
      </c>
      <c r="N125" s="23">
        <f t="shared" si="37"/>
        <v>276</v>
      </c>
      <c r="O125" s="23">
        <f t="shared" si="38"/>
        <v>0</v>
      </c>
      <c r="P125" s="23">
        <f t="shared" si="29"/>
        <v>1165.4640862236683</v>
      </c>
      <c r="Q125" s="23">
        <f t="shared" si="39"/>
        <v>1032.6585827634417</v>
      </c>
      <c r="R125" s="23">
        <f t="shared" si="48"/>
        <v>189192.11165524044</v>
      </c>
      <c r="S125" s="25">
        <f t="shared" si="49"/>
        <v>1435.2505022121691</v>
      </c>
    </row>
    <row r="126" spans="1:19" x14ac:dyDescent="0.25">
      <c r="A126" t="s">
        <v>170</v>
      </c>
      <c r="B126" s="58">
        <v>47484</v>
      </c>
      <c r="C126" s="22">
        <f t="shared" si="30"/>
        <v>114</v>
      </c>
      <c r="D126" s="23">
        <f t="shared" si="31"/>
        <v>40681.940980841122</v>
      </c>
      <c r="E126" s="23">
        <f t="shared" si="40"/>
        <v>127.13106556512849</v>
      </c>
      <c r="F126" s="23">
        <f t="shared" si="41"/>
        <v>410.08302065853974</v>
      </c>
      <c r="G126" s="52">
        <f t="shared" si="28"/>
        <v>338.33333333333331</v>
      </c>
      <c r="H126" s="23">
        <f t="shared" si="32"/>
        <v>0</v>
      </c>
      <c r="I126" s="24"/>
      <c r="J126" s="23">
        <f t="shared" si="33"/>
        <v>13.916666666666666</v>
      </c>
      <c r="K126" s="23">
        <f t="shared" si="34"/>
        <v>410.08302065853974</v>
      </c>
      <c r="L126" s="23">
        <f t="shared" si="35"/>
        <v>40271.857960182584</v>
      </c>
      <c r="M126" s="23">
        <f t="shared" si="36"/>
        <v>889.46408622366812</v>
      </c>
      <c r="N126" s="23">
        <f t="shared" si="37"/>
        <v>276</v>
      </c>
      <c r="O126" s="23">
        <f t="shared" si="38"/>
        <v>0</v>
      </c>
      <c r="P126" s="23">
        <f t="shared" si="29"/>
        <v>1165.4640862236681</v>
      </c>
      <c r="Q126" s="23">
        <f t="shared" si="39"/>
        <v>1031.3810655651284</v>
      </c>
      <c r="R126" s="23">
        <f t="shared" si="48"/>
        <v>189192.11165524044</v>
      </c>
      <c r="S126" s="25">
        <f t="shared" si="49"/>
        <v>1435.2505022121691</v>
      </c>
    </row>
    <row r="127" spans="1:19" x14ac:dyDescent="0.25">
      <c r="A127" t="s">
        <v>171</v>
      </c>
      <c r="B127" s="58">
        <v>47515</v>
      </c>
      <c r="C127" s="22">
        <f t="shared" si="30"/>
        <v>115</v>
      </c>
      <c r="D127" s="23">
        <f t="shared" si="31"/>
        <v>40271.857960182584</v>
      </c>
      <c r="E127" s="23">
        <f t="shared" si="40"/>
        <v>125.84955612557056</v>
      </c>
      <c r="F127" s="23">
        <f t="shared" si="41"/>
        <v>411.3645300980977</v>
      </c>
      <c r="G127" s="52">
        <f t="shared" si="28"/>
        <v>338.33333333333331</v>
      </c>
      <c r="H127" s="23">
        <f t="shared" si="32"/>
        <v>0</v>
      </c>
      <c r="I127" s="24"/>
      <c r="J127" s="23">
        <f t="shared" si="33"/>
        <v>13.916666666666666</v>
      </c>
      <c r="K127" s="23">
        <f t="shared" si="34"/>
        <v>411.3645300980977</v>
      </c>
      <c r="L127" s="23">
        <f t="shared" si="35"/>
        <v>39860.493430084483</v>
      </c>
      <c r="M127" s="23">
        <f t="shared" si="36"/>
        <v>889.46408622366823</v>
      </c>
      <c r="N127" s="23">
        <f t="shared" si="37"/>
        <v>276</v>
      </c>
      <c r="O127" s="23">
        <f t="shared" si="38"/>
        <v>0</v>
      </c>
      <c r="P127" s="23">
        <f t="shared" si="29"/>
        <v>1165.4640862236683</v>
      </c>
      <c r="Q127" s="23">
        <f t="shared" si="39"/>
        <v>1030.0995561255706</v>
      </c>
      <c r="R127" s="23">
        <f t="shared" si="48"/>
        <v>189192.11165524044</v>
      </c>
      <c r="S127" s="25">
        <f t="shared" si="49"/>
        <v>1435.2505022121691</v>
      </c>
    </row>
    <row r="128" spans="1:19" x14ac:dyDescent="0.25">
      <c r="A128" t="s">
        <v>172</v>
      </c>
      <c r="B128" s="58">
        <v>47543</v>
      </c>
      <c r="C128" s="22">
        <f t="shared" si="30"/>
        <v>116</v>
      </c>
      <c r="D128" s="23">
        <f t="shared" si="31"/>
        <v>39860.493430084483</v>
      </c>
      <c r="E128" s="23">
        <f t="shared" si="40"/>
        <v>124.564041969014</v>
      </c>
      <c r="F128" s="23">
        <f t="shared" si="41"/>
        <v>412.65004425465423</v>
      </c>
      <c r="G128" s="52">
        <f t="shared" si="28"/>
        <v>338.33333333333331</v>
      </c>
      <c r="H128" s="23">
        <f t="shared" si="32"/>
        <v>0</v>
      </c>
      <c r="I128" s="24"/>
      <c r="J128" s="23">
        <f t="shared" si="33"/>
        <v>13.916666666666666</v>
      </c>
      <c r="K128" s="23">
        <f t="shared" si="34"/>
        <v>412.65004425465423</v>
      </c>
      <c r="L128" s="23">
        <f t="shared" si="35"/>
        <v>39447.84338582983</v>
      </c>
      <c r="M128" s="23">
        <f t="shared" si="36"/>
        <v>889.46408622366812</v>
      </c>
      <c r="N128" s="23">
        <f t="shared" si="37"/>
        <v>276</v>
      </c>
      <c r="O128" s="23">
        <f t="shared" si="38"/>
        <v>0</v>
      </c>
      <c r="P128" s="23">
        <f t="shared" si="29"/>
        <v>1165.4640862236681</v>
      </c>
      <c r="Q128" s="23">
        <f t="shared" si="39"/>
        <v>1028.8140419690139</v>
      </c>
      <c r="R128" s="23">
        <f t="shared" si="48"/>
        <v>189192.11165524044</v>
      </c>
      <c r="S128" s="25">
        <f t="shared" si="49"/>
        <v>1435.2505022121691</v>
      </c>
    </row>
    <row r="129" spans="1:19" x14ac:dyDescent="0.25">
      <c r="A129" t="s">
        <v>173</v>
      </c>
      <c r="B129" s="58">
        <v>47574</v>
      </c>
      <c r="C129" s="22">
        <f t="shared" si="30"/>
        <v>117</v>
      </c>
      <c r="D129" s="23">
        <f t="shared" si="31"/>
        <v>39447.84338582983</v>
      </c>
      <c r="E129" s="23">
        <f t="shared" si="40"/>
        <v>123.27451058071821</v>
      </c>
      <c r="F129" s="23">
        <f t="shared" si="41"/>
        <v>413.93957564294999</v>
      </c>
      <c r="G129" s="52">
        <f t="shared" si="28"/>
        <v>338.33333333333331</v>
      </c>
      <c r="H129" s="23">
        <f t="shared" si="32"/>
        <v>0</v>
      </c>
      <c r="I129" s="24"/>
      <c r="J129" s="23">
        <f t="shared" si="33"/>
        <v>13.916666666666666</v>
      </c>
      <c r="K129" s="23">
        <f t="shared" si="34"/>
        <v>413.93957564294999</v>
      </c>
      <c r="L129" s="23">
        <f t="shared" si="35"/>
        <v>39033.903810186879</v>
      </c>
      <c r="M129" s="23">
        <f t="shared" si="36"/>
        <v>889.46408622366823</v>
      </c>
      <c r="N129" s="23">
        <f t="shared" si="37"/>
        <v>276</v>
      </c>
      <c r="O129" s="23">
        <f t="shared" si="38"/>
        <v>0</v>
      </c>
      <c r="P129" s="23">
        <f t="shared" si="29"/>
        <v>1165.4640862236683</v>
      </c>
      <c r="Q129" s="23">
        <f t="shared" si="39"/>
        <v>1027.5245105807185</v>
      </c>
      <c r="R129" s="23">
        <f t="shared" si="48"/>
        <v>189192.11165524044</v>
      </c>
      <c r="S129" s="25">
        <f t="shared" si="49"/>
        <v>1435.2505022121691</v>
      </c>
    </row>
    <row r="130" spans="1:19" x14ac:dyDescent="0.25">
      <c r="A130" t="s">
        <v>174</v>
      </c>
      <c r="B130" s="58">
        <v>47604</v>
      </c>
      <c r="C130" s="22">
        <f t="shared" si="30"/>
        <v>118</v>
      </c>
      <c r="D130" s="23">
        <f t="shared" si="31"/>
        <v>39033.903810186879</v>
      </c>
      <c r="E130" s="23">
        <f t="shared" si="40"/>
        <v>121.98094940683399</v>
      </c>
      <c r="F130" s="23">
        <f t="shared" si="41"/>
        <v>415.23313681683425</v>
      </c>
      <c r="G130" s="52">
        <f t="shared" si="28"/>
        <v>338.33333333333331</v>
      </c>
      <c r="H130" s="23">
        <f t="shared" si="32"/>
        <v>0</v>
      </c>
      <c r="I130" s="24"/>
      <c r="J130" s="23">
        <f t="shared" si="33"/>
        <v>13.916666666666666</v>
      </c>
      <c r="K130" s="23">
        <f t="shared" si="34"/>
        <v>415.23313681683425</v>
      </c>
      <c r="L130" s="23">
        <f t="shared" si="35"/>
        <v>38618.670673370048</v>
      </c>
      <c r="M130" s="23">
        <f t="shared" si="36"/>
        <v>889.46408622366835</v>
      </c>
      <c r="N130" s="23">
        <f t="shared" si="37"/>
        <v>276</v>
      </c>
      <c r="O130" s="23">
        <f t="shared" si="38"/>
        <v>0</v>
      </c>
      <c r="P130" s="23">
        <f t="shared" si="29"/>
        <v>1165.4640862236683</v>
      </c>
      <c r="Q130" s="23">
        <f t="shared" si="39"/>
        <v>1026.230949406834</v>
      </c>
      <c r="R130" s="23">
        <f t="shared" si="48"/>
        <v>189192.11165524044</v>
      </c>
      <c r="S130" s="25">
        <f t="shared" si="49"/>
        <v>1435.2505022121691</v>
      </c>
    </row>
    <row r="131" spans="1:19" x14ac:dyDescent="0.25">
      <c r="A131" t="s">
        <v>175</v>
      </c>
      <c r="B131" s="58">
        <v>47635</v>
      </c>
      <c r="C131" s="22">
        <f t="shared" si="30"/>
        <v>119</v>
      </c>
      <c r="D131" s="23">
        <f t="shared" si="31"/>
        <v>38618.670673370048</v>
      </c>
      <c r="E131" s="23">
        <f t="shared" si="40"/>
        <v>120.68334585428138</v>
      </c>
      <c r="F131" s="23">
        <f t="shared" si="41"/>
        <v>416.53074036938688</v>
      </c>
      <c r="G131" s="52">
        <f t="shared" si="28"/>
        <v>338.33333333333331</v>
      </c>
      <c r="H131" s="23">
        <f t="shared" si="32"/>
        <v>0</v>
      </c>
      <c r="I131" s="24"/>
      <c r="J131" s="23">
        <f t="shared" si="33"/>
        <v>13.916666666666666</v>
      </c>
      <c r="K131" s="23">
        <f t="shared" si="34"/>
        <v>416.53074036938688</v>
      </c>
      <c r="L131" s="23">
        <f t="shared" si="35"/>
        <v>38202.139933000661</v>
      </c>
      <c r="M131" s="23">
        <f t="shared" si="36"/>
        <v>889.46408622366823</v>
      </c>
      <c r="N131" s="23">
        <f t="shared" si="37"/>
        <v>276</v>
      </c>
      <c r="O131" s="23">
        <f t="shared" si="38"/>
        <v>0</v>
      </c>
      <c r="P131" s="23">
        <f t="shared" si="29"/>
        <v>1165.4640862236683</v>
      </c>
      <c r="Q131" s="23">
        <f t="shared" si="39"/>
        <v>1024.9333458542815</v>
      </c>
      <c r="R131" s="23">
        <f t="shared" si="48"/>
        <v>189192.11165524044</v>
      </c>
      <c r="S131" s="25">
        <f t="shared" si="49"/>
        <v>1435.2505022121691</v>
      </c>
    </row>
    <row r="132" spans="1:19" x14ac:dyDescent="0.25">
      <c r="A132" t="s">
        <v>176</v>
      </c>
      <c r="B132" s="58">
        <v>47665</v>
      </c>
      <c r="C132" s="22">
        <f t="shared" si="30"/>
        <v>120</v>
      </c>
      <c r="D132" s="23">
        <f t="shared" si="31"/>
        <v>38202.139933000661</v>
      </c>
      <c r="E132" s="23">
        <f t="shared" si="40"/>
        <v>119.38168729062706</v>
      </c>
      <c r="F132" s="23">
        <f t="shared" si="41"/>
        <v>417.83239893304119</v>
      </c>
      <c r="G132" s="52">
        <f t="shared" si="28"/>
        <v>338.33333333333331</v>
      </c>
      <c r="H132" s="23">
        <f t="shared" si="32"/>
        <v>0</v>
      </c>
      <c r="I132" s="24"/>
      <c r="J132" s="23">
        <f t="shared" si="33"/>
        <v>13.916666666666666</v>
      </c>
      <c r="K132" s="23">
        <f t="shared" si="34"/>
        <v>417.83239893304119</v>
      </c>
      <c r="L132" s="23">
        <f t="shared" si="35"/>
        <v>37784.307534067622</v>
      </c>
      <c r="M132" s="23">
        <f t="shared" si="36"/>
        <v>889.46408622366823</v>
      </c>
      <c r="N132" s="23">
        <f t="shared" si="37"/>
        <v>276</v>
      </c>
      <c r="O132" s="23">
        <f t="shared" si="38"/>
        <v>0</v>
      </c>
      <c r="P132" s="23">
        <f t="shared" si="29"/>
        <v>1165.4640862236683</v>
      </c>
      <c r="Q132" s="23">
        <f t="shared" si="39"/>
        <v>1023.6316872906272</v>
      </c>
      <c r="R132" s="23">
        <f t="shared" si="48"/>
        <v>189192.11165524044</v>
      </c>
      <c r="S132" s="25">
        <f t="shared" si="49"/>
        <v>1435.2505022121691</v>
      </c>
    </row>
    <row r="133" spans="1:19" x14ac:dyDescent="0.25">
      <c r="A133" t="s">
        <v>177</v>
      </c>
      <c r="B133" s="58">
        <v>47696</v>
      </c>
      <c r="C133" s="22">
        <f t="shared" si="30"/>
        <v>121</v>
      </c>
      <c r="D133" s="23">
        <f t="shared" si="31"/>
        <v>37784.307534067622</v>
      </c>
      <c r="E133" s="23">
        <f t="shared" si="40"/>
        <v>118.07596104396131</v>
      </c>
      <c r="F133" s="23">
        <f t="shared" si="41"/>
        <v>419.13812517970689</v>
      </c>
      <c r="G133" s="52">
        <f t="shared" si="28"/>
        <v>338.33333333333331</v>
      </c>
      <c r="H133" s="23">
        <f t="shared" si="32"/>
        <v>0</v>
      </c>
      <c r="I133" s="24"/>
      <c r="J133" s="23">
        <f t="shared" si="33"/>
        <v>13.916666666666666</v>
      </c>
      <c r="K133" s="23">
        <f t="shared" si="34"/>
        <v>419.13812517970689</v>
      </c>
      <c r="L133" s="23">
        <f t="shared" si="35"/>
        <v>37365.169408887916</v>
      </c>
      <c r="M133" s="23">
        <f t="shared" si="36"/>
        <v>889.46408622366823</v>
      </c>
      <c r="N133" s="23">
        <f t="shared" si="37"/>
        <v>276</v>
      </c>
      <c r="O133" s="23">
        <f t="shared" si="38"/>
        <v>0</v>
      </c>
      <c r="P133" s="23">
        <f t="shared" si="29"/>
        <v>1165.4640862236683</v>
      </c>
      <c r="Q133" s="23">
        <f t="shared" si="39"/>
        <v>1022.3259610439615</v>
      </c>
      <c r="R133" s="23">
        <f t="shared" ref="R133:R144" si="50">$R$132+ $R$132*$M$8</f>
        <v>194867.87500489765</v>
      </c>
      <c r="S133" s="25">
        <f t="shared" ref="S133:S144" si="51">$S$132 + ($S$132 * $T$5)</f>
        <v>1478.3080172785342</v>
      </c>
    </row>
    <row r="134" spans="1:19" x14ac:dyDescent="0.25">
      <c r="A134" t="s">
        <v>178</v>
      </c>
      <c r="B134" s="58">
        <v>47727</v>
      </c>
      <c r="C134" s="22">
        <f t="shared" si="30"/>
        <v>122</v>
      </c>
      <c r="D134" s="23">
        <f t="shared" si="31"/>
        <v>37365.169408887916</v>
      </c>
      <c r="E134" s="23">
        <f t="shared" si="40"/>
        <v>116.76615440277473</v>
      </c>
      <c r="F134" s="23">
        <f t="shared" si="41"/>
        <v>420.44793182089347</v>
      </c>
      <c r="G134" s="52">
        <f t="shared" si="28"/>
        <v>338.33333333333331</v>
      </c>
      <c r="H134" s="23">
        <f t="shared" si="32"/>
        <v>0</v>
      </c>
      <c r="I134" s="24"/>
      <c r="J134" s="23">
        <f t="shared" si="33"/>
        <v>13.916666666666666</v>
      </c>
      <c r="K134" s="23">
        <f t="shared" si="34"/>
        <v>420.44793182089347</v>
      </c>
      <c r="L134" s="23">
        <f t="shared" si="35"/>
        <v>36944.721477067025</v>
      </c>
      <c r="M134" s="23">
        <f t="shared" si="36"/>
        <v>889.46408622366823</v>
      </c>
      <c r="N134" s="23">
        <f t="shared" si="37"/>
        <v>276</v>
      </c>
      <c r="O134" s="23">
        <f t="shared" si="38"/>
        <v>0</v>
      </c>
      <c r="P134" s="23">
        <f t="shared" si="29"/>
        <v>1165.4640862236683</v>
      </c>
      <c r="Q134" s="23">
        <f t="shared" si="39"/>
        <v>1021.0161544027749</v>
      </c>
      <c r="R134" s="23">
        <f t="shared" si="50"/>
        <v>194867.87500489765</v>
      </c>
      <c r="S134" s="25">
        <f t="shared" si="51"/>
        <v>1478.3080172785342</v>
      </c>
    </row>
    <row r="135" spans="1:19" x14ac:dyDescent="0.25">
      <c r="A135" t="s">
        <v>179</v>
      </c>
      <c r="B135" s="58">
        <v>47757</v>
      </c>
      <c r="C135" s="22">
        <f t="shared" si="30"/>
        <v>123</v>
      </c>
      <c r="D135" s="23">
        <f t="shared" si="31"/>
        <v>36944.721477067025</v>
      </c>
      <c r="E135" s="23">
        <f t="shared" si="40"/>
        <v>115.45225461583445</v>
      </c>
      <c r="F135" s="23">
        <f t="shared" si="41"/>
        <v>421.76183160783376</v>
      </c>
      <c r="G135" s="52">
        <f t="shared" si="28"/>
        <v>338.33333333333331</v>
      </c>
      <c r="H135" s="23">
        <f t="shared" si="32"/>
        <v>0</v>
      </c>
      <c r="I135" s="24"/>
      <c r="J135" s="23">
        <f t="shared" si="33"/>
        <v>13.916666666666666</v>
      </c>
      <c r="K135" s="23">
        <f t="shared" si="34"/>
        <v>421.76183160783376</v>
      </c>
      <c r="L135" s="23">
        <f t="shared" si="35"/>
        <v>36522.959645459188</v>
      </c>
      <c r="M135" s="23">
        <f t="shared" si="36"/>
        <v>889.46408622366823</v>
      </c>
      <c r="N135" s="23">
        <f t="shared" si="37"/>
        <v>276</v>
      </c>
      <c r="O135" s="23">
        <f t="shared" si="38"/>
        <v>0</v>
      </c>
      <c r="P135" s="23">
        <f t="shared" si="29"/>
        <v>1165.4640862236683</v>
      </c>
      <c r="Q135" s="23">
        <f t="shared" si="39"/>
        <v>1019.7022546158346</v>
      </c>
      <c r="R135" s="23">
        <f t="shared" si="50"/>
        <v>194867.87500489765</v>
      </c>
      <c r="S135" s="25">
        <f t="shared" si="51"/>
        <v>1478.3080172785342</v>
      </c>
    </row>
    <row r="136" spans="1:19" x14ac:dyDescent="0.25">
      <c r="A136" t="s">
        <v>180</v>
      </c>
      <c r="B136" s="58">
        <v>47788</v>
      </c>
      <c r="C136" s="22">
        <f t="shared" si="30"/>
        <v>124</v>
      </c>
      <c r="D136" s="23">
        <f t="shared" si="31"/>
        <v>36522.959645459188</v>
      </c>
      <c r="E136" s="23">
        <f t="shared" si="40"/>
        <v>114.13424889205996</v>
      </c>
      <c r="F136" s="23">
        <f t="shared" si="41"/>
        <v>423.07983733160825</v>
      </c>
      <c r="G136" s="52">
        <f t="shared" si="28"/>
        <v>338.33333333333331</v>
      </c>
      <c r="H136" s="23">
        <f t="shared" si="32"/>
        <v>0</v>
      </c>
      <c r="I136" s="24"/>
      <c r="J136" s="23">
        <f t="shared" si="33"/>
        <v>13.916666666666666</v>
      </c>
      <c r="K136" s="23">
        <f t="shared" si="34"/>
        <v>423.07983733160825</v>
      </c>
      <c r="L136" s="23">
        <f t="shared" si="35"/>
        <v>36099.879808127582</v>
      </c>
      <c r="M136" s="23">
        <f t="shared" si="36"/>
        <v>889.46408622366823</v>
      </c>
      <c r="N136" s="23">
        <f t="shared" si="37"/>
        <v>276</v>
      </c>
      <c r="O136" s="23">
        <f t="shared" si="38"/>
        <v>0</v>
      </c>
      <c r="P136" s="23">
        <f t="shared" si="29"/>
        <v>1165.4640862236683</v>
      </c>
      <c r="Q136" s="23">
        <f t="shared" si="39"/>
        <v>1018.3842488920601</v>
      </c>
      <c r="R136" s="23">
        <f t="shared" si="50"/>
        <v>194867.87500489765</v>
      </c>
      <c r="S136" s="25">
        <f t="shared" si="51"/>
        <v>1478.3080172785342</v>
      </c>
    </row>
    <row r="137" spans="1:19" x14ac:dyDescent="0.25">
      <c r="A137" t="s">
        <v>181</v>
      </c>
      <c r="B137" s="58">
        <v>47818</v>
      </c>
      <c r="C137" s="22">
        <f t="shared" si="30"/>
        <v>125</v>
      </c>
      <c r="D137" s="23">
        <f t="shared" si="31"/>
        <v>36099.879808127582</v>
      </c>
      <c r="E137" s="23">
        <f t="shared" si="40"/>
        <v>112.81212440039869</v>
      </c>
      <c r="F137" s="23">
        <f t="shared" si="41"/>
        <v>424.40196182326952</v>
      </c>
      <c r="G137" s="52">
        <f t="shared" si="28"/>
        <v>338.33333333333331</v>
      </c>
      <c r="H137" s="23">
        <f t="shared" si="32"/>
        <v>0</v>
      </c>
      <c r="I137" s="24"/>
      <c r="J137" s="23">
        <f t="shared" si="33"/>
        <v>13.916666666666666</v>
      </c>
      <c r="K137" s="23">
        <f t="shared" si="34"/>
        <v>424.40196182326952</v>
      </c>
      <c r="L137" s="23">
        <f t="shared" si="35"/>
        <v>35675.477846304311</v>
      </c>
      <c r="M137" s="23">
        <f t="shared" si="36"/>
        <v>889.46408622366823</v>
      </c>
      <c r="N137" s="23">
        <f t="shared" si="37"/>
        <v>276</v>
      </c>
      <c r="O137" s="23">
        <f t="shared" si="38"/>
        <v>0</v>
      </c>
      <c r="P137" s="23">
        <f t="shared" si="29"/>
        <v>1165.4640862236683</v>
      </c>
      <c r="Q137" s="23">
        <f t="shared" si="39"/>
        <v>1017.0621244003988</v>
      </c>
      <c r="R137" s="23">
        <f t="shared" si="50"/>
        <v>194867.87500489765</v>
      </c>
      <c r="S137" s="25">
        <f t="shared" si="51"/>
        <v>1478.3080172785342</v>
      </c>
    </row>
    <row r="138" spans="1:19" x14ac:dyDescent="0.25">
      <c r="A138" t="s">
        <v>182</v>
      </c>
      <c r="B138" s="58">
        <v>47849</v>
      </c>
      <c r="C138" s="22">
        <f t="shared" si="30"/>
        <v>126</v>
      </c>
      <c r="D138" s="23">
        <f t="shared" si="31"/>
        <v>35675.477846304311</v>
      </c>
      <c r="E138" s="23">
        <f t="shared" si="40"/>
        <v>111.48586826970096</v>
      </c>
      <c r="F138" s="23">
        <f t="shared" si="41"/>
        <v>425.72821795396726</v>
      </c>
      <c r="G138" s="52">
        <f t="shared" si="28"/>
        <v>338.33333333333331</v>
      </c>
      <c r="H138" s="23">
        <f t="shared" si="32"/>
        <v>0</v>
      </c>
      <c r="I138" s="24"/>
      <c r="J138" s="23">
        <f t="shared" si="33"/>
        <v>13.916666666666666</v>
      </c>
      <c r="K138" s="23">
        <f t="shared" si="34"/>
        <v>425.72821795396726</v>
      </c>
      <c r="L138" s="23">
        <f t="shared" si="35"/>
        <v>35249.749628350342</v>
      </c>
      <c r="M138" s="23">
        <f t="shared" si="36"/>
        <v>889.46408622366823</v>
      </c>
      <c r="N138" s="23">
        <f t="shared" si="37"/>
        <v>276</v>
      </c>
      <c r="O138" s="23">
        <f t="shared" si="38"/>
        <v>0</v>
      </c>
      <c r="P138" s="23">
        <f t="shared" si="29"/>
        <v>1165.4640862236683</v>
      </c>
      <c r="Q138" s="23">
        <f t="shared" si="39"/>
        <v>1015.7358682697011</v>
      </c>
      <c r="R138" s="23">
        <f t="shared" si="50"/>
        <v>194867.87500489765</v>
      </c>
      <c r="S138" s="25">
        <f t="shared" si="51"/>
        <v>1478.3080172785342</v>
      </c>
    </row>
    <row r="139" spans="1:19" x14ac:dyDescent="0.25">
      <c r="A139" t="s">
        <v>183</v>
      </c>
      <c r="B139" s="58">
        <v>47880</v>
      </c>
      <c r="C139" s="22">
        <f t="shared" si="30"/>
        <v>127</v>
      </c>
      <c r="D139" s="23">
        <f t="shared" si="31"/>
        <v>35249.749628350342</v>
      </c>
      <c r="E139" s="23">
        <f t="shared" si="40"/>
        <v>110.15546758859482</v>
      </c>
      <c r="F139" s="23">
        <f t="shared" si="41"/>
        <v>427.0586186350734</v>
      </c>
      <c r="G139" s="52">
        <f t="shared" si="28"/>
        <v>338.33333333333331</v>
      </c>
      <c r="H139" s="23">
        <f t="shared" si="32"/>
        <v>0</v>
      </c>
      <c r="I139" s="24"/>
      <c r="J139" s="23">
        <f t="shared" si="33"/>
        <v>13.916666666666666</v>
      </c>
      <c r="K139" s="23">
        <f t="shared" si="34"/>
        <v>427.0586186350734</v>
      </c>
      <c r="L139" s="23">
        <f t="shared" si="35"/>
        <v>34822.691009715272</v>
      </c>
      <c r="M139" s="23">
        <f t="shared" si="36"/>
        <v>889.46408622366812</v>
      </c>
      <c r="N139" s="23">
        <f t="shared" si="37"/>
        <v>276</v>
      </c>
      <c r="O139" s="23">
        <f t="shared" si="38"/>
        <v>0</v>
      </c>
      <c r="P139" s="23">
        <f t="shared" si="29"/>
        <v>1165.4640862236681</v>
      </c>
      <c r="Q139" s="23">
        <f t="shared" si="39"/>
        <v>1014.4054675885948</v>
      </c>
      <c r="R139" s="23">
        <f t="shared" si="50"/>
        <v>194867.87500489765</v>
      </c>
      <c r="S139" s="25">
        <f t="shared" si="51"/>
        <v>1478.3080172785342</v>
      </c>
    </row>
    <row r="140" spans="1:19" x14ac:dyDescent="0.25">
      <c r="A140" t="s">
        <v>184</v>
      </c>
      <c r="B140" s="58">
        <v>47908</v>
      </c>
      <c r="C140" s="22">
        <f t="shared" si="30"/>
        <v>128</v>
      </c>
      <c r="D140" s="23">
        <f t="shared" si="31"/>
        <v>34822.691009715272</v>
      </c>
      <c r="E140" s="23">
        <f t="shared" si="40"/>
        <v>108.82090940536021</v>
      </c>
      <c r="F140" s="23">
        <f t="shared" si="41"/>
        <v>428.39317681830801</v>
      </c>
      <c r="G140" s="52">
        <f t="shared" si="28"/>
        <v>338.33333333333331</v>
      </c>
      <c r="H140" s="23">
        <f t="shared" si="32"/>
        <v>0</v>
      </c>
      <c r="I140" s="24"/>
      <c r="J140" s="23">
        <f t="shared" si="33"/>
        <v>13.916666666666666</v>
      </c>
      <c r="K140" s="23">
        <f t="shared" si="34"/>
        <v>428.39317681830801</v>
      </c>
      <c r="L140" s="23">
        <f t="shared" si="35"/>
        <v>34394.297832896962</v>
      </c>
      <c r="M140" s="23">
        <f t="shared" si="36"/>
        <v>889.46408622366823</v>
      </c>
      <c r="N140" s="23">
        <f t="shared" si="37"/>
        <v>276</v>
      </c>
      <c r="O140" s="23">
        <f t="shared" si="38"/>
        <v>0</v>
      </c>
      <c r="P140" s="23">
        <f t="shared" si="29"/>
        <v>1165.4640862236683</v>
      </c>
      <c r="Q140" s="23">
        <f t="shared" si="39"/>
        <v>1013.0709094053603</v>
      </c>
      <c r="R140" s="23">
        <f t="shared" si="50"/>
        <v>194867.87500489765</v>
      </c>
      <c r="S140" s="25">
        <f t="shared" si="51"/>
        <v>1478.3080172785342</v>
      </c>
    </row>
    <row r="141" spans="1:19" x14ac:dyDescent="0.25">
      <c r="A141" t="s">
        <v>185</v>
      </c>
      <c r="B141" s="58">
        <v>47939</v>
      </c>
      <c r="C141" s="22">
        <f t="shared" si="30"/>
        <v>129</v>
      </c>
      <c r="D141" s="23">
        <f t="shared" si="31"/>
        <v>34394.297832896962</v>
      </c>
      <c r="E141" s="23">
        <f t="shared" si="40"/>
        <v>107.482180727803</v>
      </c>
      <c r="F141" s="23">
        <f t="shared" si="41"/>
        <v>429.73190549586525</v>
      </c>
      <c r="G141" s="52">
        <f t="shared" ref="G141:G204" si="52">+IF(C141="",0,$H$4)</f>
        <v>338.33333333333331</v>
      </c>
      <c r="H141" s="23">
        <f t="shared" si="32"/>
        <v>0</v>
      </c>
      <c r="I141" s="24"/>
      <c r="J141" s="23">
        <f t="shared" si="33"/>
        <v>13.916666666666666</v>
      </c>
      <c r="K141" s="23">
        <f t="shared" si="34"/>
        <v>429.73190549586525</v>
      </c>
      <c r="L141" s="23">
        <f t="shared" si="35"/>
        <v>33964.565927401098</v>
      </c>
      <c r="M141" s="23">
        <f t="shared" si="36"/>
        <v>889.46408622366823</v>
      </c>
      <c r="N141" s="23">
        <f t="shared" si="37"/>
        <v>276</v>
      </c>
      <c r="O141" s="23">
        <f t="shared" si="38"/>
        <v>0</v>
      </c>
      <c r="P141" s="23">
        <f t="shared" ref="P141:P204" si="53">M141+N141-O141</f>
        <v>1165.4640862236683</v>
      </c>
      <c r="Q141" s="23">
        <f t="shared" si="39"/>
        <v>1011.7321807278031</v>
      </c>
      <c r="R141" s="23">
        <f t="shared" si="50"/>
        <v>194867.87500489765</v>
      </c>
      <c r="S141" s="25">
        <f t="shared" si="51"/>
        <v>1478.3080172785342</v>
      </c>
    </row>
    <row r="142" spans="1:19" x14ac:dyDescent="0.25">
      <c r="A142" t="s">
        <v>186</v>
      </c>
      <c r="B142" s="58">
        <v>47969</v>
      </c>
      <c r="C142" s="22">
        <f t="shared" ref="C142:C205" si="54">+IF(L141&gt;1,IF(C141="","",C141+1),"")</f>
        <v>130</v>
      </c>
      <c r="D142" s="23">
        <f t="shared" ref="D142:D205" si="55">+IF(C142="","",L141)</f>
        <v>33964.565927401098</v>
      </c>
      <c r="E142" s="23">
        <f t="shared" si="40"/>
        <v>106.13926852312842</v>
      </c>
      <c r="F142" s="23">
        <f t="shared" si="41"/>
        <v>431.07481770053982</v>
      </c>
      <c r="G142" s="52">
        <f t="shared" si="52"/>
        <v>338.33333333333331</v>
      </c>
      <c r="H142" s="23">
        <f t="shared" ref="H142:H205" si="56">+IF(C142="",0,IF(D142&lt;$D$4*0.8,0,$H$5))</f>
        <v>0</v>
      </c>
      <c r="I142" s="24"/>
      <c r="J142" s="23">
        <f t="shared" ref="J142:J205" si="57">IF(C142="","",167/12)</f>
        <v>13.916666666666666</v>
      </c>
      <c r="K142" s="23">
        <f t="shared" ref="K142:K205" si="58">+IF(C142="",0,F142+I142)</f>
        <v>431.07481770053982</v>
      </c>
      <c r="L142" s="23">
        <f t="shared" ref="L142:L205" si="59">+IF(C142="","",D142-K142)</f>
        <v>33533.491109700561</v>
      </c>
      <c r="M142" s="23">
        <f t="shared" ref="M142:M205" si="60">J142+I142+H142+G142+F142+E142</f>
        <v>889.46408622366823</v>
      </c>
      <c r="N142" s="23">
        <f t="shared" ref="N142:N205" si="61">IF(C142="","",$M$4)</f>
        <v>276</v>
      </c>
      <c r="O142" s="23">
        <f t="shared" ref="O142:O205" si="62">(E142+G142)*0</f>
        <v>0</v>
      </c>
      <c r="P142" s="23">
        <f t="shared" si="53"/>
        <v>1165.4640862236683</v>
      </c>
      <c r="Q142" s="23">
        <f t="shared" ref="Q142:Q205" si="63">P142-F142+N142</f>
        <v>1010.3892685231285</v>
      </c>
      <c r="R142" s="23">
        <f t="shared" si="50"/>
        <v>194867.87500489765</v>
      </c>
      <c r="S142" s="25">
        <f t="shared" si="51"/>
        <v>1478.3080172785342</v>
      </c>
    </row>
    <row r="143" spans="1:19" x14ac:dyDescent="0.25">
      <c r="A143" t="s">
        <v>187</v>
      </c>
      <c r="B143" s="58">
        <v>48000</v>
      </c>
      <c r="C143" s="22">
        <f t="shared" si="54"/>
        <v>131</v>
      </c>
      <c r="D143" s="23">
        <f t="shared" si="55"/>
        <v>33533.491109700561</v>
      </c>
      <c r="E143" s="23">
        <f t="shared" si="40"/>
        <v>104.79215971781424</v>
      </c>
      <c r="F143" s="23">
        <f t="shared" si="41"/>
        <v>432.421926505854</v>
      </c>
      <c r="G143" s="52">
        <f t="shared" si="52"/>
        <v>338.33333333333331</v>
      </c>
      <c r="H143" s="23">
        <f t="shared" si="56"/>
        <v>0</v>
      </c>
      <c r="I143" s="24"/>
      <c r="J143" s="23">
        <f t="shared" si="57"/>
        <v>13.916666666666666</v>
      </c>
      <c r="K143" s="23">
        <f t="shared" si="58"/>
        <v>432.421926505854</v>
      </c>
      <c r="L143" s="23">
        <f t="shared" si="59"/>
        <v>33101.069183194704</v>
      </c>
      <c r="M143" s="23">
        <f t="shared" si="60"/>
        <v>889.46408622366823</v>
      </c>
      <c r="N143" s="23">
        <f t="shared" si="61"/>
        <v>276</v>
      </c>
      <c r="O143" s="23">
        <f t="shared" si="62"/>
        <v>0</v>
      </c>
      <c r="P143" s="23">
        <f t="shared" si="53"/>
        <v>1165.4640862236683</v>
      </c>
      <c r="Q143" s="23">
        <f t="shared" si="63"/>
        <v>1009.0421597178143</v>
      </c>
      <c r="R143" s="23">
        <f t="shared" si="50"/>
        <v>194867.87500489765</v>
      </c>
      <c r="S143" s="25">
        <f t="shared" si="51"/>
        <v>1478.3080172785342</v>
      </c>
    </row>
    <row r="144" spans="1:19" x14ac:dyDescent="0.25">
      <c r="A144" t="s">
        <v>188</v>
      </c>
      <c r="B144" s="58">
        <v>48030</v>
      </c>
      <c r="C144" s="22">
        <f t="shared" si="54"/>
        <v>132</v>
      </c>
      <c r="D144" s="23">
        <f t="shared" si="55"/>
        <v>33101.069183194704</v>
      </c>
      <c r="E144" s="23">
        <f t="shared" si="40"/>
        <v>103.44084119748344</v>
      </c>
      <c r="F144" s="23">
        <f t="shared" si="41"/>
        <v>433.77324502618478</v>
      </c>
      <c r="G144" s="52">
        <f t="shared" si="52"/>
        <v>338.33333333333331</v>
      </c>
      <c r="H144" s="23">
        <f t="shared" si="56"/>
        <v>0</v>
      </c>
      <c r="I144" s="24"/>
      <c r="J144" s="23">
        <f t="shared" si="57"/>
        <v>13.916666666666666</v>
      </c>
      <c r="K144" s="23">
        <f t="shared" si="58"/>
        <v>433.77324502618478</v>
      </c>
      <c r="L144" s="23">
        <f t="shared" si="59"/>
        <v>32667.295938168518</v>
      </c>
      <c r="M144" s="23">
        <f t="shared" si="60"/>
        <v>889.46408622366823</v>
      </c>
      <c r="N144" s="23">
        <f t="shared" si="61"/>
        <v>276</v>
      </c>
      <c r="O144" s="23">
        <f t="shared" si="62"/>
        <v>0</v>
      </c>
      <c r="P144" s="23">
        <f t="shared" si="53"/>
        <v>1165.4640862236683</v>
      </c>
      <c r="Q144" s="23">
        <f t="shared" si="63"/>
        <v>1007.6908411974836</v>
      </c>
      <c r="R144" s="23">
        <f t="shared" si="50"/>
        <v>194867.87500489765</v>
      </c>
      <c r="S144" s="25">
        <f t="shared" si="51"/>
        <v>1478.3080172785342</v>
      </c>
    </row>
    <row r="145" spans="1:19" x14ac:dyDescent="0.25">
      <c r="A145" t="s">
        <v>189</v>
      </c>
      <c r="B145" s="58">
        <v>48061</v>
      </c>
      <c r="C145" s="22">
        <f t="shared" si="54"/>
        <v>133</v>
      </c>
      <c r="D145" s="23">
        <f t="shared" si="55"/>
        <v>32667.295938168518</v>
      </c>
      <c r="E145" s="23">
        <f t="shared" ref="E145:E208" si="64">IF(C145="","",($D$5/12)*D145)</f>
        <v>102.0852998067766</v>
      </c>
      <c r="F145" s="23">
        <f t="shared" si="41"/>
        <v>435.12878641689161</v>
      </c>
      <c r="G145" s="52">
        <f t="shared" si="52"/>
        <v>338.33333333333331</v>
      </c>
      <c r="H145" s="23">
        <f t="shared" si="56"/>
        <v>0</v>
      </c>
      <c r="I145" s="24"/>
      <c r="J145" s="23">
        <f t="shared" si="57"/>
        <v>13.916666666666666</v>
      </c>
      <c r="K145" s="23">
        <f t="shared" si="58"/>
        <v>435.12878641689161</v>
      </c>
      <c r="L145" s="23">
        <f t="shared" si="59"/>
        <v>32232.167151751626</v>
      </c>
      <c r="M145" s="23">
        <f t="shared" si="60"/>
        <v>889.46408622366823</v>
      </c>
      <c r="N145" s="23">
        <f t="shared" si="61"/>
        <v>276</v>
      </c>
      <c r="O145" s="23">
        <f t="shared" si="62"/>
        <v>0</v>
      </c>
      <c r="P145" s="23">
        <f t="shared" si="53"/>
        <v>1165.4640862236683</v>
      </c>
      <c r="Q145" s="23">
        <f t="shared" si="63"/>
        <v>1006.3352998067767</v>
      </c>
      <c r="R145" s="23">
        <f t="shared" ref="R145:R156" si="65">$R$144+ $R$144*$M$8</f>
        <v>200713.91125504457</v>
      </c>
      <c r="S145" s="25">
        <f t="shared" ref="S145:S156" si="66">$S$144 + ($S$144 * $T$5)</f>
        <v>1522.6572577968902</v>
      </c>
    </row>
    <row r="146" spans="1:19" x14ac:dyDescent="0.25">
      <c r="A146" t="s">
        <v>190</v>
      </c>
      <c r="B146" s="58">
        <v>48092</v>
      </c>
      <c r="C146" s="22">
        <f t="shared" si="54"/>
        <v>134</v>
      </c>
      <c r="D146" s="23">
        <f t="shared" si="55"/>
        <v>32232.167151751626</v>
      </c>
      <c r="E146" s="23">
        <f t="shared" si="64"/>
        <v>100.72552234922382</v>
      </c>
      <c r="F146" s="23">
        <f t="shared" si="41"/>
        <v>436.48856387444442</v>
      </c>
      <c r="G146" s="52">
        <f t="shared" si="52"/>
        <v>338.33333333333331</v>
      </c>
      <c r="H146" s="23">
        <f t="shared" si="56"/>
        <v>0</v>
      </c>
      <c r="I146" s="24"/>
      <c r="J146" s="23">
        <f t="shared" si="57"/>
        <v>13.916666666666666</v>
      </c>
      <c r="K146" s="23">
        <f t="shared" si="58"/>
        <v>436.48856387444442</v>
      </c>
      <c r="L146" s="23">
        <f t="shared" si="59"/>
        <v>31795.678587877181</v>
      </c>
      <c r="M146" s="23">
        <f t="shared" si="60"/>
        <v>889.46408622366835</v>
      </c>
      <c r="N146" s="23">
        <f t="shared" si="61"/>
        <v>276</v>
      </c>
      <c r="O146" s="23">
        <f t="shared" si="62"/>
        <v>0</v>
      </c>
      <c r="P146" s="23">
        <f t="shared" si="53"/>
        <v>1165.4640862236683</v>
      </c>
      <c r="Q146" s="23">
        <f t="shared" si="63"/>
        <v>1004.9755223492239</v>
      </c>
      <c r="R146" s="23">
        <f t="shared" si="65"/>
        <v>200713.91125504457</v>
      </c>
      <c r="S146" s="25">
        <f t="shared" si="66"/>
        <v>1522.6572577968902</v>
      </c>
    </row>
    <row r="147" spans="1:19" x14ac:dyDescent="0.25">
      <c r="A147" t="s">
        <v>191</v>
      </c>
      <c r="B147" s="58">
        <v>48122</v>
      </c>
      <c r="C147" s="22">
        <f t="shared" si="54"/>
        <v>135</v>
      </c>
      <c r="D147" s="23">
        <f t="shared" si="55"/>
        <v>31795.678587877181</v>
      </c>
      <c r="E147" s="23">
        <f t="shared" si="64"/>
        <v>99.361495587116181</v>
      </c>
      <c r="F147" s="23">
        <f t="shared" si="41"/>
        <v>437.85259063655207</v>
      </c>
      <c r="G147" s="52">
        <f t="shared" si="52"/>
        <v>338.33333333333331</v>
      </c>
      <c r="H147" s="23">
        <f t="shared" si="56"/>
        <v>0</v>
      </c>
      <c r="I147" s="24"/>
      <c r="J147" s="23">
        <f t="shared" si="57"/>
        <v>13.916666666666666</v>
      </c>
      <c r="K147" s="23">
        <f t="shared" si="58"/>
        <v>437.85259063655207</v>
      </c>
      <c r="L147" s="23">
        <f t="shared" si="59"/>
        <v>31357.82599724063</v>
      </c>
      <c r="M147" s="23">
        <f t="shared" si="60"/>
        <v>889.46408622366835</v>
      </c>
      <c r="N147" s="23">
        <f t="shared" si="61"/>
        <v>276</v>
      </c>
      <c r="O147" s="23">
        <f t="shared" si="62"/>
        <v>0</v>
      </c>
      <c r="P147" s="23">
        <f t="shared" si="53"/>
        <v>1165.4640862236683</v>
      </c>
      <c r="Q147" s="23">
        <f t="shared" si="63"/>
        <v>1003.6114955871162</v>
      </c>
      <c r="R147" s="23">
        <f t="shared" si="65"/>
        <v>200713.91125504457</v>
      </c>
      <c r="S147" s="25">
        <f t="shared" si="66"/>
        <v>1522.6572577968902</v>
      </c>
    </row>
    <row r="148" spans="1:19" x14ac:dyDescent="0.25">
      <c r="A148" t="s">
        <v>192</v>
      </c>
      <c r="B148" s="58">
        <v>48153</v>
      </c>
      <c r="C148" s="22">
        <f t="shared" si="54"/>
        <v>136</v>
      </c>
      <c r="D148" s="23">
        <f t="shared" si="55"/>
        <v>31357.82599724063</v>
      </c>
      <c r="E148" s="23">
        <f t="shared" si="64"/>
        <v>97.993206241376967</v>
      </c>
      <c r="F148" s="23">
        <f t="shared" si="41"/>
        <v>439.22087998229125</v>
      </c>
      <c r="G148" s="52">
        <f t="shared" si="52"/>
        <v>338.33333333333331</v>
      </c>
      <c r="H148" s="23">
        <f t="shared" si="56"/>
        <v>0</v>
      </c>
      <c r="I148" s="24"/>
      <c r="J148" s="23">
        <f t="shared" si="57"/>
        <v>13.916666666666666</v>
      </c>
      <c r="K148" s="23">
        <f t="shared" si="58"/>
        <v>439.22087998229125</v>
      </c>
      <c r="L148" s="23">
        <f t="shared" si="59"/>
        <v>30918.605117258339</v>
      </c>
      <c r="M148" s="23">
        <f t="shared" si="60"/>
        <v>889.46408622366823</v>
      </c>
      <c r="N148" s="23">
        <f t="shared" si="61"/>
        <v>276</v>
      </c>
      <c r="O148" s="23">
        <f t="shared" si="62"/>
        <v>0</v>
      </c>
      <c r="P148" s="23">
        <f t="shared" si="53"/>
        <v>1165.4640862236683</v>
      </c>
      <c r="Q148" s="23">
        <f t="shared" si="63"/>
        <v>1002.243206241377</v>
      </c>
      <c r="R148" s="23">
        <f t="shared" si="65"/>
        <v>200713.91125504457</v>
      </c>
      <c r="S148" s="25">
        <f t="shared" si="66"/>
        <v>1522.6572577968902</v>
      </c>
    </row>
    <row r="149" spans="1:19" x14ac:dyDescent="0.25">
      <c r="A149" t="s">
        <v>193</v>
      </c>
      <c r="B149" s="58">
        <v>48183</v>
      </c>
      <c r="C149" s="22">
        <f t="shared" si="54"/>
        <v>137</v>
      </c>
      <c r="D149" s="23">
        <f t="shared" si="55"/>
        <v>30918.605117258339</v>
      </c>
      <c r="E149" s="23">
        <f t="shared" si="64"/>
        <v>96.620640991432296</v>
      </c>
      <c r="F149" s="23">
        <f t="shared" ref="F149:F209" si="67">IF(C149="","",$D$8-E149)</f>
        <v>440.59344523223592</v>
      </c>
      <c r="G149" s="52">
        <f t="shared" si="52"/>
        <v>338.33333333333331</v>
      </c>
      <c r="H149" s="23">
        <f t="shared" si="56"/>
        <v>0</v>
      </c>
      <c r="I149" s="24"/>
      <c r="J149" s="23">
        <f t="shared" si="57"/>
        <v>13.916666666666666</v>
      </c>
      <c r="K149" s="23">
        <f t="shared" si="58"/>
        <v>440.59344523223592</v>
      </c>
      <c r="L149" s="23">
        <f t="shared" si="59"/>
        <v>30478.011672026103</v>
      </c>
      <c r="M149" s="23">
        <f t="shared" si="60"/>
        <v>889.46408622366823</v>
      </c>
      <c r="N149" s="23">
        <f t="shared" si="61"/>
        <v>276</v>
      </c>
      <c r="O149" s="23">
        <f t="shared" si="62"/>
        <v>0</v>
      </c>
      <c r="P149" s="23">
        <f t="shared" si="53"/>
        <v>1165.4640862236683</v>
      </c>
      <c r="Q149" s="23">
        <f t="shared" si="63"/>
        <v>1000.8706409914324</v>
      </c>
      <c r="R149" s="23">
        <f t="shared" si="65"/>
        <v>200713.91125504457</v>
      </c>
      <c r="S149" s="25">
        <f t="shared" si="66"/>
        <v>1522.6572577968902</v>
      </c>
    </row>
    <row r="150" spans="1:19" x14ac:dyDescent="0.25">
      <c r="A150" t="s">
        <v>194</v>
      </c>
      <c r="B150" s="58">
        <v>48214</v>
      </c>
      <c r="C150" s="22">
        <f t="shared" si="54"/>
        <v>138</v>
      </c>
      <c r="D150" s="23">
        <f t="shared" si="55"/>
        <v>30478.011672026103</v>
      </c>
      <c r="E150" s="23">
        <f t="shared" si="64"/>
        <v>95.243786475081563</v>
      </c>
      <c r="F150" s="23">
        <f t="shared" si="67"/>
        <v>441.97029974858668</v>
      </c>
      <c r="G150" s="52">
        <f t="shared" si="52"/>
        <v>338.33333333333331</v>
      </c>
      <c r="H150" s="23">
        <f t="shared" si="56"/>
        <v>0</v>
      </c>
      <c r="I150" s="24"/>
      <c r="J150" s="23">
        <f t="shared" si="57"/>
        <v>13.916666666666666</v>
      </c>
      <c r="K150" s="23">
        <f t="shared" si="58"/>
        <v>441.97029974858668</v>
      </c>
      <c r="L150" s="23">
        <f t="shared" si="59"/>
        <v>30036.041372277516</v>
      </c>
      <c r="M150" s="23">
        <f t="shared" si="60"/>
        <v>889.46408622366835</v>
      </c>
      <c r="N150" s="23">
        <f t="shared" si="61"/>
        <v>276</v>
      </c>
      <c r="O150" s="23">
        <f t="shared" si="62"/>
        <v>0</v>
      </c>
      <c r="P150" s="23">
        <f t="shared" si="53"/>
        <v>1165.4640862236683</v>
      </c>
      <c r="Q150" s="23">
        <f t="shared" si="63"/>
        <v>999.49378647508161</v>
      </c>
      <c r="R150" s="23">
        <f t="shared" si="65"/>
        <v>200713.91125504457</v>
      </c>
      <c r="S150" s="25">
        <f t="shared" si="66"/>
        <v>1522.6572577968902</v>
      </c>
    </row>
    <row r="151" spans="1:19" x14ac:dyDescent="0.25">
      <c r="A151" t="s">
        <v>195</v>
      </c>
      <c r="B151" s="58">
        <v>48245</v>
      </c>
      <c r="C151" s="22">
        <f t="shared" si="54"/>
        <v>139</v>
      </c>
      <c r="D151" s="23">
        <f t="shared" si="55"/>
        <v>30036.041372277516</v>
      </c>
      <c r="E151" s="23">
        <f t="shared" si="64"/>
        <v>93.862629288367231</v>
      </c>
      <c r="F151" s="23">
        <f t="shared" si="67"/>
        <v>443.35145693530103</v>
      </c>
      <c r="G151" s="52">
        <f t="shared" si="52"/>
        <v>338.33333333333331</v>
      </c>
      <c r="H151" s="23">
        <f t="shared" si="56"/>
        <v>0</v>
      </c>
      <c r="I151" s="24"/>
      <c r="J151" s="23">
        <f t="shared" si="57"/>
        <v>13.916666666666666</v>
      </c>
      <c r="K151" s="23">
        <f t="shared" si="58"/>
        <v>443.35145693530103</v>
      </c>
      <c r="L151" s="23">
        <f t="shared" si="59"/>
        <v>29592.689915342213</v>
      </c>
      <c r="M151" s="23">
        <f t="shared" si="60"/>
        <v>889.46408622366823</v>
      </c>
      <c r="N151" s="23">
        <f t="shared" si="61"/>
        <v>276</v>
      </c>
      <c r="O151" s="23">
        <f t="shared" si="62"/>
        <v>0</v>
      </c>
      <c r="P151" s="23">
        <f t="shared" si="53"/>
        <v>1165.4640862236683</v>
      </c>
      <c r="Q151" s="23">
        <f t="shared" si="63"/>
        <v>998.11262928836732</v>
      </c>
      <c r="R151" s="23">
        <f t="shared" si="65"/>
        <v>200713.91125504457</v>
      </c>
      <c r="S151" s="25">
        <f t="shared" si="66"/>
        <v>1522.6572577968902</v>
      </c>
    </row>
    <row r="152" spans="1:19" x14ac:dyDescent="0.25">
      <c r="A152" t="s">
        <v>196</v>
      </c>
      <c r="B152" s="58">
        <v>48274</v>
      </c>
      <c r="C152" s="22">
        <f t="shared" si="54"/>
        <v>140</v>
      </c>
      <c r="D152" s="23">
        <f t="shared" si="55"/>
        <v>29592.689915342213</v>
      </c>
      <c r="E152" s="23">
        <f t="shared" si="64"/>
        <v>92.477155985444412</v>
      </c>
      <c r="F152" s="23">
        <f t="shared" si="67"/>
        <v>444.73693023822381</v>
      </c>
      <c r="G152" s="52">
        <f t="shared" si="52"/>
        <v>338.33333333333331</v>
      </c>
      <c r="H152" s="23">
        <f t="shared" si="56"/>
        <v>0</v>
      </c>
      <c r="I152" s="24"/>
      <c r="J152" s="23">
        <f t="shared" si="57"/>
        <v>13.916666666666666</v>
      </c>
      <c r="K152" s="23">
        <f t="shared" si="58"/>
        <v>444.73693023822381</v>
      </c>
      <c r="L152" s="23">
        <f t="shared" si="59"/>
        <v>29147.952985103988</v>
      </c>
      <c r="M152" s="23">
        <f t="shared" si="60"/>
        <v>889.46408622366812</v>
      </c>
      <c r="N152" s="23">
        <f t="shared" si="61"/>
        <v>276</v>
      </c>
      <c r="O152" s="23">
        <f t="shared" si="62"/>
        <v>0</v>
      </c>
      <c r="P152" s="23">
        <f t="shared" si="53"/>
        <v>1165.4640862236681</v>
      </c>
      <c r="Q152" s="23">
        <f t="shared" si="63"/>
        <v>996.72715598544437</v>
      </c>
      <c r="R152" s="23">
        <f t="shared" si="65"/>
        <v>200713.91125504457</v>
      </c>
      <c r="S152" s="25">
        <f t="shared" si="66"/>
        <v>1522.6572577968902</v>
      </c>
    </row>
    <row r="153" spans="1:19" x14ac:dyDescent="0.25">
      <c r="A153" t="s">
        <v>197</v>
      </c>
      <c r="B153" s="58">
        <v>48305</v>
      </c>
      <c r="C153" s="22">
        <f t="shared" si="54"/>
        <v>141</v>
      </c>
      <c r="D153" s="23">
        <f t="shared" si="55"/>
        <v>29147.952985103988</v>
      </c>
      <c r="E153" s="23">
        <f t="shared" si="64"/>
        <v>91.087353078449951</v>
      </c>
      <c r="F153" s="23">
        <f t="shared" si="67"/>
        <v>446.12673314521828</v>
      </c>
      <c r="G153" s="52">
        <f t="shared" si="52"/>
        <v>338.33333333333331</v>
      </c>
      <c r="H153" s="23">
        <f t="shared" si="56"/>
        <v>0</v>
      </c>
      <c r="I153" s="24"/>
      <c r="J153" s="23">
        <f t="shared" si="57"/>
        <v>13.916666666666666</v>
      </c>
      <c r="K153" s="23">
        <f t="shared" si="58"/>
        <v>446.12673314521828</v>
      </c>
      <c r="L153" s="23">
        <f t="shared" si="59"/>
        <v>28701.82625195877</v>
      </c>
      <c r="M153" s="23">
        <f t="shared" si="60"/>
        <v>889.46408622366823</v>
      </c>
      <c r="N153" s="23">
        <f t="shared" si="61"/>
        <v>276</v>
      </c>
      <c r="O153" s="23">
        <f t="shared" si="62"/>
        <v>0</v>
      </c>
      <c r="P153" s="23">
        <f t="shared" si="53"/>
        <v>1165.4640862236683</v>
      </c>
      <c r="Q153" s="23">
        <f t="shared" si="63"/>
        <v>995.33735307845006</v>
      </c>
      <c r="R153" s="23">
        <f t="shared" si="65"/>
        <v>200713.91125504457</v>
      </c>
      <c r="S153" s="25">
        <f t="shared" si="66"/>
        <v>1522.6572577968902</v>
      </c>
    </row>
    <row r="154" spans="1:19" x14ac:dyDescent="0.25">
      <c r="A154" t="s">
        <v>198</v>
      </c>
      <c r="B154" s="58">
        <v>48335</v>
      </c>
      <c r="C154" s="22">
        <f t="shared" si="54"/>
        <v>142</v>
      </c>
      <c r="D154" s="23">
        <f t="shared" si="55"/>
        <v>28701.82625195877</v>
      </c>
      <c r="E154" s="23">
        <f t="shared" si="64"/>
        <v>89.693207037371153</v>
      </c>
      <c r="F154" s="23">
        <f t="shared" si="67"/>
        <v>447.52087918629707</v>
      </c>
      <c r="G154" s="52">
        <f t="shared" si="52"/>
        <v>338.33333333333331</v>
      </c>
      <c r="H154" s="23">
        <f t="shared" si="56"/>
        <v>0</v>
      </c>
      <c r="I154" s="24"/>
      <c r="J154" s="23">
        <f t="shared" si="57"/>
        <v>13.916666666666666</v>
      </c>
      <c r="K154" s="23">
        <f t="shared" si="58"/>
        <v>447.52087918629707</v>
      </c>
      <c r="L154" s="23">
        <f t="shared" si="59"/>
        <v>28254.305372772473</v>
      </c>
      <c r="M154" s="23">
        <f t="shared" si="60"/>
        <v>889.46408622366823</v>
      </c>
      <c r="N154" s="23">
        <f t="shared" si="61"/>
        <v>276</v>
      </c>
      <c r="O154" s="23">
        <f t="shared" si="62"/>
        <v>0</v>
      </c>
      <c r="P154" s="23">
        <f t="shared" si="53"/>
        <v>1165.4640862236683</v>
      </c>
      <c r="Q154" s="23">
        <f t="shared" si="63"/>
        <v>993.94320703737128</v>
      </c>
      <c r="R154" s="23">
        <f t="shared" si="65"/>
        <v>200713.91125504457</v>
      </c>
      <c r="S154" s="25">
        <f t="shared" si="66"/>
        <v>1522.6572577968902</v>
      </c>
    </row>
    <row r="155" spans="1:19" x14ac:dyDescent="0.25">
      <c r="A155" t="s">
        <v>199</v>
      </c>
      <c r="B155" s="58">
        <v>48366</v>
      </c>
      <c r="C155" s="22">
        <f t="shared" si="54"/>
        <v>143</v>
      </c>
      <c r="D155" s="23">
        <f t="shared" si="55"/>
        <v>28254.305372772473</v>
      </c>
      <c r="E155" s="23">
        <f t="shared" si="64"/>
        <v>88.294704289913966</v>
      </c>
      <c r="F155" s="23">
        <f t="shared" si="67"/>
        <v>448.91938193375427</v>
      </c>
      <c r="G155" s="52">
        <f t="shared" si="52"/>
        <v>338.33333333333331</v>
      </c>
      <c r="H155" s="23">
        <f t="shared" si="56"/>
        <v>0</v>
      </c>
      <c r="I155" s="24"/>
      <c r="J155" s="23">
        <f t="shared" si="57"/>
        <v>13.916666666666666</v>
      </c>
      <c r="K155" s="23">
        <f t="shared" si="58"/>
        <v>448.91938193375427</v>
      </c>
      <c r="L155" s="23">
        <f t="shared" si="59"/>
        <v>27805.385990838717</v>
      </c>
      <c r="M155" s="23">
        <f t="shared" si="60"/>
        <v>889.46408622366823</v>
      </c>
      <c r="N155" s="23">
        <f t="shared" si="61"/>
        <v>276</v>
      </c>
      <c r="O155" s="23">
        <f t="shared" si="62"/>
        <v>0</v>
      </c>
      <c r="P155" s="23">
        <f t="shared" si="53"/>
        <v>1165.4640862236683</v>
      </c>
      <c r="Q155" s="23">
        <f t="shared" si="63"/>
        <v>992.54470428991408</v>
      </c>
      <c r="R155" s="23">
        <f t="shared" si="65"/>
        <v>200713.91125504457</v>
      </c>
      <c r="S155" s="25">
        <f t="shared" si="66"/>
        <v>1522.6572577968902</v>
      </c>
    </row>
    <row r="156" spans="1:19" x14ac:dyDescent="0.25">
      <c r="A156" t="s">
        <v>200</v>
      </c>
      <c r="B156" s="58">
        <v>48396</v>
      </c>
      <c r="C156" s="22">
        <f t="shared" si="54"/>
        <v>144</v>
      </c>
      <c r="D156" s="23">
        <f t="shared" si="55"/>
        <v>27805.385990838717</v>
      </c>
      <c r="E156" s="23">
        <f t="shared" si="64"/>
        <v>86.891831221370978</v>
      </c>
      <c r="F156" s="23">
        <f t="shared" si="67"/>
        <v>450.32225500229725</v>
      </c>
      <c r="G156" s="52">
        <f t="shared" si="52"/>
        <v>338.33333333333331</v>
      </c>
      <c r="H156" s="23">
        <f t="shared" si="56"/>
        <v>0</v>
      </c>
      <c r="I156" s="24"/>
      <c r="J156" s="23">
        <f t="shared" si="57"/>
        <v>13.916666666666666</v>
      </c>
      <c r="K156" s="23">
        <f t="shared" si="58"/>
        <v>450.32225500229725</v>
      </c>
      <c r="L156" s="23">
        <f t="shared" si="59"/>
        <v>27355.063735836418</v>
      </c>
      <c r="M156" s="23">
        <f t="shared" si="60"/>
        <v>889.46408622366812</v>
      </c>
      <c r="N156" s="23">
        <f t="shared" si="61"/>
        <v>276</v>
      </c>
      <c r="O156" s="23">
        <f t="shared" si="62"/>
        <v>0</v>
      </c>
      <c r="P156" s="23">
        <f t="shared" si="53"/>
        <v>1165.4640862236681</v>
      </c>
      <c r="Q156" s="23">
        <f t="shared" si="63"/>
        <v>991.14183122137092</v>
      </c>
      <c r="R156" s="23">
        <f t="shared" si="65"/>
        <v>200713.91125504457</v>
      </c>
      <c r="S156" s="25">
        <f t="shared" si="66"/>
        <v>1522.6572577968902</v>
      </c>
    </row>
    <row r="157" spans="1:19" x14ac:dyDescent="0.25">
      <c r="A157" t="s">
        <v>201</v>
      </c>
      <c r="B157" s="58">
        <v>48427</v>
      </c>
      <c r="C157" s="22">
        <f t="shared" si="54"/>
        <v>145</v>
      </c>
      <c r="D157" s="23">
        <f t="shared" si="55"/>
        <v>27355.063735836418</v>
      </c>
      <c r="E157" s="23">
        <f t="shared" si="64"/>
        <v>85.484574174488799</v>
      </c>
      <c r="F157" s="23">
        <f t="shared" si="67"/>
        <v>451.72951204917945</v>
      </c>
      <c r="G157" s="52">
        <f t="shared" si="52"/>
        <v>338.33333333333331</v>
      </c>
      <c r="H157" s="23">
        <f t="shared" si="56"/>
        <v>0</v>
      </c>
      <c r="I157" s="24"/>
      <c r="J157" s="23">
        <f t="shared" si="57"/>
        <v>13.916666666666666</v>
      </c>
      <c r="K157" s="23">
        <f t="shared" si="58"/>
        <v>451.72951204917945</v>
      </c>
      <c r="L157" s="23">
        <f t="shared" si="59"/>
        <v>26903.334223787238</v>
      </c>
      <c r="M157" s="23">
        <f t="shared" si="60"/>
        <v>889.46408622366823</v>
      </c>
      <c r="N157" s="23">
        <f t="shared" si="61"/>
        <v>276</v>
      </c>
      <c r="O157" s="23">
        <f t="shared" si="62"/>
        <v>0</v>
      </c>
      <c r="P157" s="23">
        <f t="shared" si="53"/>
        <v>1165.4640862236683</v>
      </c>
      <c r="Q157" s="23">
        <f t="shared" si="63"/>
        <v>989.7345741744889</v>
      </c>
      <c r="R157" s="23">
        <f t="shared" ref="R157:R168" si="68">$R$156+ $R$156*$M$8</f>
        <v>206735.32859269591</v>
      </c>
      <c r="S157" s="25">
        <f t="shared" ref="S157:S168" si="69">$S$156 + ($S$156 * $T$5)</f>
        <v>1568.336975530797</v>
      </c>
    </row>
    <row r="158" spans="1:19" x14ac:dyDescent="0.25">
      <c r="A158" t="s">
        <v>202</v>
      </c>
      <c r="B158" s="58">
        <v>48458</v>
      </c>
      <c r="C158" s="22">
        <f t="shared" si="54"/>
        <v>146</v>
      </c>
      <c r="D158" s="23">
        <f t="shared" si="55"/>
        <v>26903.334223787238</v>
      </c>
      <c r="E158" s="23">
        <f t="shared" si="64"/>
        <v>84.072919449335117</v>
      </c>
      <c r="F158" s="23">
        <f t="shared" si="67"/>
        <v>453.1411667743331</v>
      </c>
      <c r="G158" s="52">
        <f t="shared" si="52"/>
        <v>338.33333333333331</v>
      </c>
      <c r="H158" s="23">
        <f t="shared" si="56"/>
        <v>0</v>
      </c>
      <c r="I158" s="24"/>
      <c r="J158" s="23">
        <f t="shared" si="57"/>
        <v>13.916666666666666</v>
      </c>
      <c r="K158" s="23">
        <f t="shared" si="58"/>
        <v>453.1411667743331</v>
      </c>
      <c r="L158" s="23">
        <f t="shared" si="59"/>
        <v>26450.193057012904</v>
      </c>
      <c r="M158" s="23">
        <f t="shared" si="60"/>
        <v>889.46408622366823</v>
      </c>
      <c r="N158" s="23">
        <f t="shared" si="61"/>
        <v>276</v>
      </c>
      <c r="O158" s="23">
        <f t="shared" si="62"/>
        <v>0</v>
      </c>
      <c r="P158" s="23">
        <f t="shared" si="53"/>
        <v>1165.4640862236683</v>
      </c>
      <c r="Q158" s="23">
        <f t="shared" si="63"/>
        <v>988.32291944933525</v>
      </c>
      <c r="R158" s="23">
        <f t="shared" si="68"/>
        <v>206735.32859269591</v>
      </c>
      <c r="S158" s="25">
        <f t="shared" si="69"/>
        <v>1568.336975530797</v>
      </c>
    </row>
    <row r="159" spans="1:19" x14ac:dyDescent="0.25">
      <c r="A159" t="s">
        <v>203</v>
      </c>
      <c r="B159" s="58">
        <v>48488</v>
      </c>
      <c r="C159" s="22">
        <f t="shared" si="54"/>
        <v>147</v>
      </c>
      <c r="D159" s="23">
        <f t="shared" si="55"/>
        <v>26450.193057012904</v>
      </c>
      <c r="E159" s="23">
        <f t="shared" si="64"/>
        <v>82.65685330316532</v>
      </c>
      <c r="F159" s="23">
        <f t="shared" si="67"/>
        <v>454.55723292050288</v>
      </c>
      <c r="G159" s="52">
        <f t="shared" si="52"/>
        <v>338.33333333333331</v>
      </c>
      <c r="H159" s="23">
        <f t="shared" si="56"/>
        <v>0</v>
      </c>
      <c r="I159" s="24"/>
      <c r="J159" s="23">
        <f t="shared" si="57"/>
        <v>13.916666666666666</v>
      </c>
      <c r="K159" s="23">
        <f t="shared" si="58"/>
        <v>454.55723292050288</v>
      </c>
      <c r="L159" s="23">
        <f t="shared" si="59"/>
        <v>25995.635824092402</v>
      </c>
      <c r="M159" s="23">
        <f t="shared" si="60"/>
        <v>889.46408622366823</v>
      </c>
      <c r="N159" s="23">
        <f t="shared" si="61"/>
        <v>276</v>
      </c>
      <c r="O159" s="23">
        <f t="shared" si="62"/>
        <v>0</v>
      </c>
      <c r="P159" s="23">
        <f t="shared" si="53"/>
        <v>1165.4640862236683</v>
      </c>
      <c r="Q159" s="23">
        <f t="shared" si="63"/>
        <v>986.90685330316546</v>
      </c>
      <c r="R159" s="23">
        <f t="shared" si="68"/>
        <v>206735.32859269591</v>
      </c>
      <c r="S159" s="25">
        <f t="shared" si="69"/>
        <v>1568.336975530797</v>
      </c>
    </row>
    <row r="160" spans="1:19" x14ac:dyDescent="0.25">
      <c r="A160" t="s">
        <v>204</v>
      </c>
      <c r="B160" s="58">
        <v>48519</v>
      </c>
      <c r="C160" s="22">
        <f t="shared" si="54"/>
        <v>148</v>
      </c>
      <c r="D160" s="23">
        <f t="shared" si="55"/>
        <v>25995.635824092402</v>
      </c>
      <c r="E160" s="23">
        <f t="shared" si="64"/>
        <v>81.236361950288753</v>
      </c>
      <c r="F160" s="23">
        <f t="shared" si="67"/>
        <v>455.97772427337947</v>
      </c>
      <c r="G160" s="52">
        <f t="shared" si="52"/>
        <v>338.33333333333331</v>
      </c>
      <c r="H160" s="23">
        <f t="shared" si="56"/>
        <v>0</v>
      </c>
      <c r="I160" s="24"/>
      <c r="J160" s="23">
        <f t="shared" si="57"/>
        <v>13.916666666666666</v>
      </c>
      <c r="K160" s="23">
        <f t="shared" si="58"/>
        <v>455.97772427337947</v>
      </c>
      <c r="L160" s="23">
        <f t="shared" si="59"/>
        <v>25539.658099819022</v>
      </c>
      <c r="M160" s="23">
        <f t="shared" si="60"/>
        <v>889.46408622366812</v>
      </c>
      <c r="N160" s="23">
        <f t="shared" si="61"/>
        <v>276</v>
      </c>
      <c r="O160" s="23">
        <f t="shared" si="62"/>
        <v>0</v>
      </c>
      <c r="P160" s="23">
        <f t="shared" si="53"/>
        <v>1165.4640862236681</v>
      </c>
      <c r="Q160" s="23">
        <f t="shared" si="63"/>
        <v>985.48636195028871</v>
      </c>
      <c r="R160" s="23">
        <f t="shared" si="68"/>
        <v>206735.32859269591</v>
      </c>
      <c r="S160" s="25">
        <f t="shared" si="69"/>
        <v>1568.336975530797</v>
      </c>
    </row>
    <row r="161" spans="1:19" x14ac:dyDescent="0.25">
      <c r="A161" t="s">
        <v>205</v>
      </c>
      <c r="B161" s="58">
        <v>48549</v>
      </c>
      <c r="C161" s="22">
        <f t="shared" si="54"/>
        <v>149</v>
      </c>
      <c r="D161" s="23">
        <f t="shared" si="55"/>
        <v>25539.658099819022</v>
      </c>
      <c r="E161" s="23">
        <f t="shared" si="64"/>
        <v>79.811431561934441</v>
      </c>
      <c r="F161" s="23">
        <f t="shared" si="67"/>
        <v>457.40265466173378</v>
      </c>
      <c r="G161" s="52">
        <f t="shared" si="52"/>
        <v>338.33333333333331</v>
      </c>
      <c r="H161" s="23">
        <f t="shared" si="56"/>
        <v>0</v>
      </c>
      <c r="I161" s="24"/>
      <c r="J161" s="23">
        <f t="shared" si="57"/>
        <v>13.916666666666666</v>
      </c>
      <c r="K161" s="23">
        <f t="shared" si="58"/>
        <v>457.40265466173378</v>
      </c>
      <c r="L161" s="23">
        <f t="shared" si="59"/>
        <v>25082.255445157287</v>
      </c>
      <c r="M161" s="23">
        <f t="shared" si="60"/>
        <v>889.46408622366823</v>
      </c>
      <c r="N161" s="23">
        <f t="shared" si="61"/>
        <v>276</v>
      </c>
      <c r="O161" s="23">
        <f t="shared" si="62"/>
        <v>0</v>
      </c>
      <c r="P161" s="23">
        <f t="shared" si="53"/>
        <v>1165.4640862236683</v>
      </c>
      <c r="Q161" s="23">
        <f t="shared" si="63"/>
        <v>984.06143156193457</v>
      </c>
      <c r="R161" s="23">
        <f t="shared" si="68"/>
        <v>206735.32859269591</v>
      </c>
      <c r="S161" s="25">
        <f t="shared" si="69"/>
        <v>1568.336975530797</v>
      </c>
    </row>
    <row r="162" spans="1:19" x14ac:dyDescent="0.25">
      <c r="A162" t="s">
        <v>206</v>
      </c>
      <c r="B162" s="58">
        <v>48580</v>
      </c>
      <c r="C162" s="22">
        <f t="shared" si="54"/>
        <v>150</v>
      </c>
      <c r="D162" s="23">
        <f t="shared" si="55"/>
        <v>25082.255445157287</v>
      </c>
      <c r="E162" s="23">
        <f t="shared" si="64"/>
        <v>78.382048266116513</v>
      </c>
      <c r="F162" s="23">
        <f t="shared" si="67"/>
        <v>458.83203795755173</v>
      </c>
      <c r="G162" s="52">
        <f t="shared" si="52"/>
        <v>338.33333333333331</v>
      </c>
      <c r="H162" s="23">
        <f t="shared" si="56"/>
        <v>0</v>
      </c>
      <c r="I162" s="24"/>
      <c r="J162" s="23">
        <f t="shared" si="57"/>
        <v>13.916666666666666</v>
      </c>
      <c r="K162" s="23">
        <f t="shared" si="58"/>
        <v>458.83203795755173</v>
      </c>
      <c r="L162" s="23">
        <f t="shared" si="59"/>
        <v>24623.423407199734</v>
      </c>
      <c r="M162" s="23">
        <f t="shared" si="60"/>
        <v>889.46408622366823</v>
      </c>
      <c r="N162" s="23">
        <f t="shared" si="61"/>
        <v>276</v>
      </c>
      <c r="O162" s="23">
        <f t="shared" si="62"/>
        <v>0</v>
      </c>
      <c r="P162" s="23">
        <f t="shared" si="53"/>
        <v>1165.4640862236683</v>
      </c>
      <c r="Q162" s="23">
        <f t="shared" si="63"/>
        <v>982.63204826611661</v>
      </c>
      <c r="R162" s="23">
        <f t="shared" si="68"/>
        <v>206735.32859269591</v>
      </c>
      <c r="S162" s="25">
        <f t="shared" si="69"/>
        <v>1568.336975530797</v>
      </c>
    </row>
    <row r="163" spans="1:19" x14ac:dyDescent="0.25">
      <c r="A163" t="s">
        <v>207</v>
      </c>
      <c r="B163" s="58">
        <v>48611</v>
      </c>
      <c r="C163" s="22">
        <f t="shared" si="54"/>
        <v>151</v>
      </c>
      <c r="D163" s="23">
        <f t="shared" si="55"/>
        <v>24623.423407199734</v>
      </c>
      <c r="E163" s="23">
        <f t="shared" si="64"/>
        <v>76.94819814749917</v>
      </c>
      <c r="F163" s="23">
        <f t="shared" si="67"/>
        <v>460.26588807616906</v>
      </c>
      <c r="G163" s="52">
        <f t="shared" si="52"/>
        <v>338.33333333333331</v>
      </c>
      <c r="H163" s="23">
        <f t="shared" si="56"/>
        <v>0</v>
      </c>
      <c r="I163" s="24"/>
      <c r="J163" s="23">
        <f t="shared" si="57"/>
        <v>13.916666666666666</v>
      </c>
      <c r="K163" s="23">
        <f t="shared" si="58"/>
        <v>460.26588807616906</v>
      </c>
      <c r="L163" s="23">
        <f t="shared" si="59"/>
        <v>24163.157519123564</v>
      </c>
      <c r="M163" s="23">
        <f t="shared" si="60"/>
        <v>889.46408622366823</v>
      </c>
      <c r="N163" s="23">
        <f t="shared" si="61"/>
        <v>276</v>
      </c>
      <c r="O163" s="23">
        <f t="shared" si="62"/>
        <v>0</v>
      </c>
      <c r="P163" s="23">
        <f t="shared" si="53"/>
        <v>1165.4640862236683</v>
      </c>
      <c r="Q163" s="23">
        <f t="shared" si="63"/>
        <v>981.19819814749928</v>
      </c>
      <c r="R163" s="23">
        <f t="shared" si="68"/>
        <v>206735.32859269591</v>
      </c>
      <c r="S163" s="25">
        <f t="shared" si="69"/>
        <v>1568.336975530797</v>
      </c>
    </row>
    <row r="164" spans="1:19" x14ac:dyDescent="0.25">
      <c r="A164" t="s">
        <v>208</v>
      </c>
      <c r="B164" s="58">
        <v>48639</v>
      </c>
      <c r="C164" s="22">
        <f t="shared" si="54"/>
        <v>152</v>
      </c>
      <c r="D164" s="23">
        <f t="shared" si="55"/>
        <v>24163.157519123564</v>
      </c>
      <c r="E164" s="23">
        <f t="shared" si="64"/>
        <v>75.509867247261127</v>
      </c>
      <c r="F164" s="23">
        <f t="shared" si="67"/>
        <v>461.70421897640711</v>
      </c>
      <c r="G164" s="52">
        <f t="shared" si="52"/>
        <v>338.33333333333331</v>
      </c>
      <c r="H164" s="23">
        <f t="shared" si="56"/>
        <v>0</v>
      </c>
      <c r="I164" s="24"/>
      <c r="J164" s="23">
        <f t="shared" si="57"/>
        <v>13.916666666666666</v>
      </c>
      <c r="K164" s="23">
        <f t="shared" si="58"/>
        <v>461.70421897640711</v>
      </c>
      <c r="L164" s="23">
        <f t="shared" si="59"/>
        <v>23701.453300147157</v>
      </c>
      <c r="M164" s="23">
        <f t="shared" si="60"/>
        <v>889.46408622366823</v>
      </c>
      <c r="N164" s="23">
        <f t="shared" si="61"/>
        <v>276</v>
      </c>
      <c r="O164" s="23">
        <f t="shared" si="62"/>
        <v>0</v>
      </c>
      <c r="P164" s="23">
        <f t="shared" si="53"/>
        <v>1165.4640862236683</v>
      </c>
      <c r="Q164" s="23">
        <f t="shared" si="63"/>
        <v>979.75986724726124</v>
      </c>
      <c r="R164" s="23">
        <f t="shared" si="68"/>
        <v>206735.32859269591</v>
      </c>
      <c r="S164" s="25">
        <f t="shared" si="69"/>
        <v>1568.336975530797</v>
      </c>
    </row>
    <row r="165" spans="1:19" x14ac:dyDescent="0.25">
      <c r="A165" t="s">
        <v>209</v>
      </c>
      <c r="B165" s="58">
        <v>48670</v>
      </c>
      <c r="C165" s="22">
        <f t="shared" si="54"/>
        <v>153</v>
      </c>
      <c r="D165" s="23">
        <f t="shared" si="55"/>
        <v>23701.453300147157</v>
      </c>
      <c r="E165" s="23">
        <f t="shared" si="64"/>
        <v>74.067041562959858</v>
      </c>
      <c r="F165" s="23">
        <f t="shared" si="67"/>
        <v>463.14704466070839</v>
      </c>
      <c r="G165" s="52">
        <f t="shared" si="52"/>
        <v>338.33333333333331</v>
      </c>
      <c r="H165" s="23">
        <f t="shared" si="56"/>
        <v>0</v>
      </c>
      <c r="I165" s="24"/>
      <c r="J165" s="23">
        <f t="shared" si="57"/>
        <v>13.916666666666666</v>
      </c>
      <c r="K165" s="23">
        <f t="shared" si="58"/>
        <v>463.14704466070839</v>
      </c>
      <c r="L165" s="23">
        <f t="shared" si="59"/>
        <v>23238.306255486448</v>
      </c>
      <c r="M165" s="23">
        <f t="shared" si="60"/>
        <v>889.46408622366823</v>
      </c>
      <c r="N165" s="23">
        <f t="shared" si="61"/>
        <v>276</v>
      </c>
      <c r="O165" s="23">
        <f t="shared" si="62"/>
        <v>0</v>
      </c>
      <c r="P165" s="23">
        <f t="shared" si="53"/>
        <v>1165.4640862236683</v>
      </c>
      <c r="Q165" s="23">
        <f t="shared" si="63"/>
        <v>978.31704156295996</v>
      </c>
      <c r="R165" s="23">
        <f t="shared" si="68"/>
        <v>206735.32859269591</v>
      </c>
      <c r="S165" s="25">
        <f t="shared" si="69"/>
        <v>1568.336975530797</v>
      </c>
    </row>
    <row r="166" spans="1:19" x14ac:dyDescent="0.25">
      <c r="A166" t="s">
        <v>210</v>
      </c>
      <c r="B166" s="58">
        <v>48700</v>
      </c>
      <c r="C166" s="22">
        <f t="shared" si="54"/>
        <v>154</v>
      </c>
      <c r="D166" s="23">
        <f t="shared" si="55"/>
        <v>23238.306255486448</v>
      </c>
      <c r="E166" s="23">
        <f t="shared" si="64"/>
        <v>72.619707048395142</v>
      </c>
      <c r="F166" s="23">
        <f t="shared" si="67"/>
        <v>464.5943791752731</v>
      </c>
      <c r="G166" s="52">
        <f t="shared" si="52"/>
        <v>338.33333333333331</v>
      </c>
      <c r="H166" s="23">
        <f t="shared" si="56"/>
        <v>0</v>
      </c>
      <c r="I166" s="24"/>
      <c r="J166" s="23">
        <f t="shared" si="57"/>
        <v>13.916666666666666</v>
      </c>
      <c r="K166" s="23">
        <f t="shared" si="58"/>
        <v>464.5943791752731</v>
      </c>
      <c r="L166" s="23">
        <f t="shared" si="59"/>
        <v>22773.711876311176</v>
      </c>
      <c r="M166" s="23">
        <f t="shared" si="60"/>
        <v>889.46408622366835</v>
      </c>
      <c r="N166" s="23">
        <f t="shared" si="61"/>
        <v>276</v>
      </c>
      <c r="O166" s="23">
        <f t="shared" si="62"/>
        <v>0</v>
      </c>
      <c r="P166" s="23">
        <f t="shared" si="53"/>
        <v>1165.4640862236683</v>
      </c>
      <c r="Q166" s="23">
        <f t="shared" si="63"/>
        <v>976.86970704839518</v>
      </c>
      <c r="R166" s="23">
        <f t="shared" si="68"/>
        <v>206735.32859269591</v>
      </c>
      <c r="S166" s="25">
        <f t="shared" si="69"/>
        <v>1568.336975530797</v>
      </c>
    </row>
    <row r="167" spans="1:19" x14ac:dyDescent="0.25">
      <c r="A167" t="s">
        <v>211</v>
      </c>
      <c r="B167" s="58">
        <v>48731</v>
      </c>
      <c r="C167" s="22">
        <f t="shared" si="54"/>
        <v>155</v>
      </c>
      <c r="D167" s="23">
        <f t="shared" si="55"/>
        <v>22773.711876311176</v>
      </c>
      <c r="E167" s="23">
        <f t="shared" si="64"/>
        <v>71.167849613472413</v>
      </c>
      <c r="F167" s="23">
        <f t="shared" si="67"/>
        <v>466.04623661019582</v>
      </c>
      <c r="G167" s="52">
        <f t="shared" si="52"/>
        <v>338.33333333333331</v>
      </c>
      <c r="H167" s="23">
        <f t="shared" si="56"/>
        <v>0</v>
      </c>
      <c r="I167" s="24"/>
      <c r="J167" s="23">
        <f t="shared" si="57"/>
        <v>13.916666666666666</v>
      </c>
      <c r="K167" s="23">
        <f t="shared" si="58"/>
        <v>466.04623661019582</v>
      </c>
      <c r="L167" s="23">
        <f t="shared" si="59"/>
        <v>22307.665639700979</v>
      </c>
      <c r="M167" s="23">
        <f t="shared" si="60"/>
        <v>889.46408622366823</v>
      </c>
      <c r="N167" s="23">
        <f t="shared" si="61"/>
        <v>276</v>
      </c>
      <c r="O167" s="23">
        <f t="shared" si="62"/>
        <v>0</v>
      </c>
      <c r="P167" s="23">
        <f t="shared" si="53"/>
        <v>1165.4640862236683</v>
      </c>
      <c r="Q167" s="23">
        <f t="shared" si="63"/>
        <v>975.41784961347253</v>
      </c>
      <c r="R167" s="23">
        <f t="shared" si="68"/>
        <v>206735.32859269591</v>
      </c>
      <c r="S167" s="25">
        <f t="shared" si="69"/>
        <v>1568.336975530797</v>
      </c>
    </row>
    <row r="168" spans="1:19" x14ac:dyDescent="0.25">
      <c r="A168" t="s">
        <v>212</v>
      </c>
      <c r="B168" s="58">
        <v>48761</v>
      </c>
      <c r="C168" s="22">
        <f t="shared" si="54"/>
        <v>156</v>
      </c>
      <c r="D168" s="23">
        <f t="shared" si="55"/>
        <v>22307.665639700979</v>
      </c>
      <c r="E168" s="23">
        <f t="shared" si="64"/>
        <v>69.711455124065552</v>
      </c>
      <c r="F168" s="23">
        <f t="shared" si="67"/>
        <v>467.5026310996027</v>
      </c>
      <c r="G168" s="52">
        <f t="shared" si="52"/>
        <v>338.33333333333331</v>
      </c>
      <c r="H168" s="23">
        <f t="shared" si="56"/>
        <v>0</v>
      </c>
      <c r="I168" s="24"/>
      <c r="J168" s="23">
        <f t="shared" si="57"/>
        <v>13.916666666666666</v>
      </c>
      <c r="K168" s="23">
        <f t="shared" si="58"/>
        <v>467.5026310996027</v>
      </c>
      <c r="L168" s="23">
        <f t="shared" si="59"/>
        <v>21840.163008601376</v>
      </c>
      <c r="M168" s="23">
        <f t="shared" si="60"/>
        <v>889.46408622366823</v>
      </c>
      <c r="N168" s="23">
        <f t="shared" si="61"/>
        <v>276</v>
      </c>
      <c r="O168" s="23">
        <f t="shared" si="62"/>
        <v>0</v>
      </c>
      <c r="P168" s="23">
        <f t="shared" si="53"/>
        <v>1165.4640862236683</v>
      </c>
      <c r="Q168" s="23">
        <f t="shared" si="63"/>
        <v>973.96145512406565</v>
      </c>
      <c r="R168" s="23">
        <f t="shared" si="68"/>
        <v>206735.32859269591</v>
      </c>
      <c r="S168" s="25">
        <f t="shared" si="69"/>
        <v>1568.336975530797</v>
      </c>
    </row>
    <row r="169" spans="1:19" x14ac:dyDescent="0.25">
      <c r="A169" t="s">
        <v>213</v>
      </c>
      <c r="B169" s="58">
        <v>48792</v>
      </c>
      <c r="C169" s="22">
        <f t="shared" si="54"/>
        <v>157</v>
      </c>
      <c r="D169" s="23">
        <f t="shared" si="55"/>
        <v>21840.163008601376</v>
      </c>
      <c r="E169" s="23">
        <f t="shared" si="64"/>
        <v>68.250509401879299</v>
      </c>
      <c r="F169" s="23">
        <f t="shared" si="67"/>
        <v>468.96357682178893</v>
      </c>
      <c r="G169" s="52">
        <f t="shared" si="52"/>
        <v>338.33333333333331</v>
      </c>
      <c r="H169" s="23">
        <f t="shared" si="56"/>
        <v>0</v>
      </c>
      <c r="I169" s="24"/>
      <c r="J169" s="23">
        <f t="shared" si="57"/>
        <v>13.916666666666666</v>
      </c>
      <c r="K169" s="23">
        <f t="shared" si="58"/>
        <v>468.96357682178893</v>
      </c>
      <c r="L169" s="23">
        <f t="shared" si="59"/>
        <v>21371.199431779587</v>
      </c>
      <c r="M169" s="23">
        <f t="shared" si="60"/>
        <v>889.46408622366823</v>
      </c>
      <c r="N169" s="23">
        <f t="shared" si="61"/>
        <v>276</v>
      </c>
      <c r="O169" s="23">
        <f t="shared" si="62"/>
        <v>0</v>
      </c>
      <c r="P169" s="23">
        <f t="shared" si="53"/>
        <v>1165.4640862236683</v>
      </c>
      <c r="Q169" s="23">
        <f t="shared" si="63"/>
        <v>972.50050940187941</v>
      </c>
      <c r="R169" s="23">
        <f t="shared" ref="R169:R180" si="70">$R$168+ $R$168*$M$8</f>
        <v>212937.38845047678</v>
      </c>
      <c r="S169" s="25">
        <f t="shared" ref="S169:S180" si="71">$S$168 + ($S$168 * $T$5)</f>
        <v>1615.387084796721</v>
      </c>
    </row>
    <row r="170" spans="1:19" x14ac:dyDescent="0.25">
      <c r="A170" t="s">
        <v>214</v>
      </c>
      <c r="B170" s="58">
        <v>48823</v>
      </c>
      <c r="C170" s="22">
        <f t="shared" si="54"/>
        <v>158</v>
      </c>
      <c r="D170" s="23">
        <f t="shared" si="55"/>
        <v>21371.199431779587</v>
      </c>
      <c r="E170" s="23">
        <f t="shared" si="64"/>
        <v>66.784998224311209</v>
      </c>
      <c r="F170" s="23">
        <f t="shared" si="67"/>
        <v>470.42908799935702</v>
      </c>
      <c r="G170" s="52">
        <f t="shared" si="52"/>
        <v>338.33333333333331</v>
      </c>
      <c r="H170" s="23">
        <f t="shared" si="56"/>
        <v>0</v>
      </c>
      <c r="I170" s="24"/>
      <c r="J170" s="23">
        <f t="shared" si="57"/>
        <v>13.916666666666666</v>
      </c>
      <c r="K170" s="23">
        <f t="shared" si="58"/>
        <v>470.42908799935702</v>
      </c>
      <c r="L170" s="23">
        <f t="shared" si="59"/>
        <v>20900.77034378023</v>
      </c>
      <c r="M170" s="23">
        <f t="shared" si="60"/>
        <v>889.46408622366835</v>
      </c>
      <c r="N170" s="23">
        <f t="shared" si="61"/>
        <v>276</v>
      </c>
      <c r="O170" s="23">
        <f t="shared" si="62"/>
        <v>0</v>
      </c>
      <c r="P170" s="23">
        <f t="shared" si="53"/>
        <v>1165.4640862236683</v>
      </c>
      <c r="Q170" s="23">
        <f t="shared" si="63"/>
        <v>971.03499822431127</v>
      </c>
      <c r="R170" s="23">
        <f t="shared" si="70"/>
        <v>212937.38845047678</v>
      </c>
      <c r="S170" s="25">
        <f t="shared" si="71"/>
        <v>1615.387084796721</v>
      </c>
    </row>
    <row r="171" spans="1:19" x14ac:dyDescent="0.25">
      <c r="A171" t="s">
        <v>215</v>
      </c>
      <c r="B171" s="58">
        <v>48853</v>
      </c>
      <c r="C171" s="22">
        <f t="shared" si="54"/>
        <v>159</v>
      </c>
      <c r="D171" s="23">
        <f t="shared" si="55"/>
        <v>20900.77034378023</v>
      </c>
      <c r="E171" s="23">
        <f t="shared" si="64"/>
        <v>65.314907324313211</v>
      </c>
      <c r="F171" s="23">
        <f t="shared" si="67"/>
        <v>471.89917889935504</v>
      </c>
      <c r="G171" s="52">
        <f t="shared" si="52"/>
        <v>338.33333333333331</v>
      </c>
      <c r="H171" s="23">
        <f t="shared" si="56"/>
        <v>0</v>
      </c>
      <c r="I171" s="24"/>
      <c r="J171" s="23">
        <f t="shared" si="57"/>
        <v>13.916666666666666</v>
      </c>
      <c r="K171" s="23">
        <f t="shared" si="58"/>
        <v>471.89917889935504</v>
      </c>
      <c r="L171" s="23">
        <f t="shared" si="59"/>
        <v>20428.871164880875</v>
      </c>
      <c r="M171" s="23">
        <f t="shared" si="60"/>
        <v>889.46408622366835</v>
      </c>
      <c r="N171" s="23">
        <f t="shared" si="61"/>
        <v>276</v>
      </c>
      <c r="O171" s="23">
        <f t="shared" si="62"/>
        <v>0</v>
      </c>
      <c r="P171" s="23">
        <f t="shared" si="53"/>
        <v>1165.4640862236683</v>
      </c>
      <c r="Q171" s="23">
        <f t="shared" si="63"/>
        <v>969.56490732431325</v>
      </c>
      <c r="R171" s="23">
        <f t="shared" si="70"/>
        <v>212937.38845047678</v>
      </c>
      <c r="S171" s="25">
        <f t="shared" si="71"/>
        <v>1615.387084796721</v>
      </c>
    </row>
    <row r="172" spans="1:19" x14ac:dyDescent="0.25">
      <c r="A172" t="s">
        <v>216</v>
      </c>
      <c r="B172" s="58">
        <v>48884</v>
      </c>
      <c r="C172" s="22">
        <f t="shared" si="54"/>
        <v>160</v>
      </c>
      <c r="D172" s="23">
        <f t="shared" si="55"/>
        <v>20428.871164880875</v>
      </c>
      <c r="E172" s="23">
        <f t="shared" si="64"/>
        <v>63.840222390252727</v>
      </c>
      <c r="F172" s="23">
        <f t="shared" si="67"/>
        <v>473.3738638334155</v>
      </c>
      <c r="G172" s="52">
        <f t="shared" si="52"/>
        <v>338.33333333333331</v>
      </c>
      <c r="H172" s="23">
        <f t="shared" si="56"/>
        <v>0</v>
      </c>
      <c r="I172" s="24"/>
      <c r="J172" s="23">
        <f t="shared" si="57"/>
        <v>13.916666666666666</v>
      </c>
      <c r="K172" s="23">
        <f t="shared" si="58"/>
        <v>473.3738638334155</v>
      </c>
      <c r="L172" s="23">
        <f t="shared" si="59"/>
        <v>19955.49730104746</v>
      </c>
      <c r="M172" s="23">
        <f t="shared" si="60"/>
        <v>889.46408622366823</v>
      </c>
      <c r="N172" s="23">
        <f t="shared" si="61"/>
        <v>276</v>
      </c>
      <c r="O172" s="23">
        <f t="shared" si="62"/>
        <v>0</v>
      </c>
      <c r="P172" s="23">
        <f t="shared" si="53"/>
        <v>1165.4640862236683</v>
      </c>
      <c r="Q172" s="23">
        <f t="shared" si="63"/>
        <v>968.09022239025285</v>
      </c>
      <c r="R172" s="23">
        <f t="shared" si="70"/>
        <v>212937.38845047678</v>
      </c>
      <c r="S172" s="25">
        <f t="shared" si="71"/>
        <v>1615.387084796721</v>
      </c>
    </row>
    <row r="173" spans="1:19" x14ac:dyDescent="0.25">
      <c r="A173" t="s">
        <v>217</v>
      </c>
      <c r="B173" s="58">
        <v>48914</v>
      </c>
      <c r="C173" s="22">
        <f t="shared" si="54"/>
        <v>161</v>
      </c>
      <c r="D173" s="23">
        <f t="shared" si="55"/>
        <v>19955.49730104746</v>
      </c>
      <c r="E173" s="23">
        <f t="shared" si="64"/>
        <v>62.360929065773306</v>
      </c>
      <c r="F173" s="23">
        <f t="shared" si="67"/>
        <v>474.85315715789494</v>
      </c>
      <c r="G173" s="52">
        <f t="shared" si="52"/>
        <v>338.33333333333331</v>
      </c>
      <c r="H173" s="23">
        <f t="shared" si="56"/>
        <v>0</v>
      </c>
      <c r="I173" s="24"/>
      <c r="J173" s="23">
        <f t="shared" si="57"/>
        <v>13.916666666666666</v>
      </c>
      <c r="K173" s="23">
        <f t="shared" si="58"/>
        <v>474.85315715789494</v>
      </c>
      <c r="L173" s="23">
        <f t="shared" si="59"/>
        <v>19480.644143889567</v>
      </c>
      <c r="M173" s="23">
        <f t="shared" si="60"/>
        <v>889.46408622366823</v>
      </c>
      <c r="N173" s="23">
        <f t="shared" si="61"/>
        <v>276</v>
      </c>
      <c r="O173" s="23">
        <f t="shared" si="62"/>
        <v>0</v>
      </c>
      <c r="P173" s="23">
        <f t="shared" si="53"/>
        <v>1165.4640862236683</v>
      </c>
      <c r="Q173" s="23">
        <f t="shared" si="63"/>
        <v>966.61092906577346</v>
      </c>
      <c r="R173" s="23">
        <f t="shared" si="70"/>
        <v>212937.38845047678</v>
      </c>
      <c r="S173" s="25">
        <f t="shared" si="71"/>
        <v>1615.387084796721</v>
      </c>
    </row>
    <row r="174" spans="1:19" x14ac:dyDescent="0.25">
      <c r="A174" t="s">
        <v>218</v>
      </c>
      <c r="B174" s="58">
        <v>48945</v>
      </c>
      <c r="C174" s="22">
        <f t="shared" si="54"/>
        <v>162</v>
      </c>
      <c r="D174" s="23">
        <f t="shared" si="55"/>
        <v>19480.644143889567</v>
      </c>
      <c r="E174" s="23">
        <f t="shared" si="64"/>
        <v>60.87701294965489</v>
      </c>
      <c r="F174" s="23">
        <f t="shared" si="67"/>
        <v>476.33707327401333</v>
      </c>
      <c r="G174" s="52">
        <f t="shared" si="52"/>
        <v>338.33333333333331</v>
      </c>
      <c r="H174" s="23">
        <f t="shared" si="56"/>
        <v>0</v>
      </c>
      <c r="I174" s="24"/>
      <c r="J174" s="23">
        <f t="shared" si="57"/>
        <v>13.916666666666666</v>
      </c>
      <c r="K174" s="23">
        <f t="shared" si="58"/>
        <v>476.33707327401333</v>
      </c>
      <c r="L174" s="23">
        <f t="shared" si="59"/>
        <v>19004.307070615552</v>
      </c>
      <c r="M174" s="23">
        <f t="shared" si="60"/>
        <v>889.46408622366823</v>
      </c>
      <c r="N174" s="23">
        <f t="shared" si="61"/>
        <v>276</v>
      </c>
      <c r="O174" s="23">
        <f t="shared" si="62"/>
        <v>0</v>
      </c>
      <c r="P174" s="23">
        <f t="shared" si="53"/>
        <v>1165.4640862236683</v>
      </c>
      <c r="Q174" s="23">
        <f t="shared" si="63"/>
        <v>965.12701294965495</v>
      </c>
      <c r="R174" s="23">
        <f t="shared" si="70"/>
        <v>212937.38845047678</v>
      </c>
      <c r="S174" s="25">
        <f t="shared" si="71"/>
        <v>1615.387084796721</v>
      </c>
    </row>
    <row r="175" spans="1:19" x14ac:dyDescent="0.25">
      <c r="A175" t="s">
        <v>219</v>
      </c>
      <c r="B175" s="58">
        <v>48976</v>
      </c>
      <c r="C175" s="22">
        <f t="shared" si="54"/>
        <v>163</v>
      </c>
      <c r="D175" s="23">
        <f t="shared" si="55"/>
        <v>19004.307070615552</v>
      </c>
      <c r="E175" s="23">
        <f t="shared" si="64"/>
        <v>59.388459595673595</v>
      </c>
      <c r="F175" s="23">
        <f t="shared" si="67"/>
        <v>477.82562662799467</v>
      </c>
      <c r="G175" s="52">
        <f t="shared" si="52"/>
        <v>338.33333333333331</v>
      </c>
      <c r="H175" s="23">
        <f t="shared" si="56"/>
        <v>0</v>
      </c>
      <c r="I175" s="24"/>
      <c r="J175" s="23">
        <f t="shared" si="57"/>
        <v>13.916666666666666</v>
      </c>
      <c r="K175" s="23">
        <f t="shared" si="58"/>
        <v>477.82562662799467</v>
      </c>
      <c r="L175" s="23">
        <f t="shared" si="59"/>
        <v>18526.481443987559</v>
      </c>
      <c r="M175" s="23">
        <f t="shared" si="60"/>
        <v>889.46408622366823</v>
      </c>
      <c r="N175" s="23">
        <f t="shared" si="61"/>
        <v>276</v>
      </c>
      <c r="O175" s="23">
        <f t="shared" si="62"/>
        <v>0</v>
      </c>
      <c r="P175" s="23">
        <f t="shared" si="53"/>
        <v>1165.4640862236683</v>
      </c>
      <c r="Q175" s="23">
        <f t="shared" si="63"/>
        <v>963.63845959567368</v>
      </c>
      <c r="R175" s="23">
        <f t="shared" si="70"/>
        <v>212937.38845047678</v>
      </c>
      <c r="S175" s="25">
        <f t="shared" si="71"/>
        <v>1615.387084796721</v>
      </c>
    </row>
    <row r="176" spans="1:19" x14ac:dyDescent="0.25">
      <c r="A176" t="s">
        <v>220</v>
      </c>
      <c r="B176" s="58">
        <v>49004</v>
      </c>
      <c r="C176" s="22">
        <f t="shared" si="54"/>
        <v>164</v>
      </c>
      <c r="D176" s="23">
        <f t="shared" si="55"/>
        <v>18526.481443987559</v>
      </c>
      <c r="E176" s="23">
        <f t="shared" si="64"/>
        <v>57.895254512461115</v>
      </c>
      <c r="F176" s="23">
        <f t="shared" si="67"/>
        <v>479.31883171120711</v>
      </c>
      <c r="G176" s="52">
        <f t="shared" si="52"/>
        <v>338.33333333333331</v>
      </c>
      <c r="H176" s="23">
        <f t="shared" si="56"/>
        <v>0</v>
      </c>
      <c r="I176" s="24"/>
      <c r="J176" s="23">
        <f t="shared" si="57"/>
        <v>13.916666666666666</v>
      </c>
      <c r="K176" s="23">
        <f t="shared" si="58"/>
        <v>479.31883171120711</v>
      </c>
      <c r="L176" s="23">
        <f t="shared" si="59"/>
        <v>18047.162612276352</v>
      </c>
      <c r="M176" s="23">
        <f t="shared" si="60"/>
        <v>889.46408622366823</v>
      </c>
      <c r="N176" s="23">
        <f t="shared" si="61"/>
        <v>276</v>
      </c>
      <c r="O176" s="23">
        <f t="shared" si="62"/>
        <v>0</v>
      </c>
      <c r="P176" s="23">
        <f t="shared" si="53"/>
        <v>1165.4640862236683</v>
      </c>
      <c r="Q176" s="23">
        <f t="shared" si="63"/>
        <v>962.14525451246118</v>
      </c>
      <c r="R176" s="23">
        <f t="shared" si="70"/>
        <v>212937.38845047678</v>
      </c>
      <c r="S176" s="25">
        <f t="shared" si="71"/>
        <v>1615.387084796721</v>
      </c>
    </row>
    <row r="177" spans="1:19" x14ac:dyDescent="0.25">
      <c r="A177" t="s">
        <v>221</v>
      </c>
      <c r="B177" s="58">
        <v>49035</v>
      </c>
      <c r="C177" s="22">
        <f t="shared" si="54"/>
        <v>165</v>
      </c>
      <c r="D177" s="23">
        <f t="shared" si="55"/>
        <v>18047.162612276352</v>
      </c>
      <c r="E177" s="23">
        <f t="shared" si="64"/>
        <v>56.397383163363592</v>
      </c>
      <c r="F177" s="23">
        <f t="shared" si="67"/>
        <v>480.81670306030463</v>
      </c>
      <c r="G177" s="52">
        <f t="shared" si="52"/>
        <v>338.33333333333331</v>
      </c>
      <c r="H177" s="23">
        <f t="shared" si="56"/>
        <v>0</v>
      </c>
      <c r="I177" s="24"/>
      <c r="J177" s="23">
        <f t="shared" si="57"/>
        <v>13.916666666666666</v>
      </c>
      <c r="K177" s="23">
        <f t="shared" si="58"/>
        <v>480.81670306030463</v>
      </c>
      <c r="L177" s="23">
        <f t="shared" si="59"/>
        <v>17566.345909216048</v>
      </c>
      <c r="M177" s="23">
        <f t="shared" si="60"/>
        <v>889.46408622366823</v>
      </c>
      <c r="N177" s="23">
        <f t="shared" si="61"/>
        <v>276</v>
      </c>
      <c r="O177" s="23">
        <f t="shared" si="62"/>
        <v>0</v>
      </c>
      <c r="P177" s="23">
        <f t="shared" si="53"/>
        <v>1165.4640862236683</v>
      </c>
      <c r="Q177" s="23">
        <f t="shared" si="63"/>
        <v>960.64738316336366</v>
      </c>
      <c r="R177" s="23">
        <f t="shared" si="70"/>
        <v>212937.38845047678</v>
      </c>
      <c r="S177" s="25">
        <f t="shared" si="71"/>
        <v>1615.387084796721</v>
      </c>
    </row>
    <row r="178" spans="1:19" x14ac:dyDescent="0.25">
      <c r="A178" t="s">
        <v>222</v>
      </c>
      <c r="B178" s="58">
        <v>49065</v>
      </c>
      <c r="C178" s="22">
        <f t="shared" si="54"/>
        <v>166</v>
      </c>
      <c r="D178" s="23">
        <f t="shared" si="55"/>
        <v>17566.345909216048</v>
      </c>
      <c r="E178" s="23">
        <f t="shared" si="64"/>
        <v>54.894830966300148</v>
      </c>
      <c r="F178" s="23">
        <f t="shared" si="67"/>
        <v>482.31925525736807</v>
      </c>
      <c r="G178" s="52">
        <f t="shared" si="52"/>
        <v>338.33333333333331</v>
      </c>
      <c r="H178" s="23">
        <f t="shared" si="56"/>
        <v>0</v>
      </c>
      <c r="I178" s="24"/>
      <c r="J178" s="23">
        <f t="shared" si="57"/>
        <v>13.916666666666666</v>
      </c>
      <c r="K178" s="23">
        <f t="shared" si="58"/>
        <v>482.31925525736807</v>
      </c>
      <c r="L178" s="23">
        <f t="shared" si="59"/>
        <v>17084.026653958681</v>
      </c>
      <c r="M178" s="23">
        <f t="shared" si="60"/>
        <v>889.46408622366812</v>
      </c>
      <c r="N178" s="23">
        <f t="shared" si="61"/>
        <v>276</v>
      </c>
      <c r="O178" s="23">
        <f t="shared" si="62"/>
        <v>0</v>
      </c>
      <c r="P178" s="23">
        <f t="shared" si="53"/>
        <v>1165.4640862236681</v>
      </c>
      <c r="Q178" s="23">
        <f t="shared" si="63"/>
        <v>959.14483096630011</v>
      </c>
      <c r="R178" s="23">
        <f t="shared" si="70"/>
        <v>212937.38845047678</v>
      </c>
      <c r="S178" s="25">
        <f t="shared" si="71"/>
        <v>1615.387084796721</v>
      </c>
    </row>
    <row r="179" spans="1:19" x14ac:dyDescent="0.25">
      <c r="A179" t="s">
        <v>223</v>
      </c>
      <c r="B179" s="58">
        <v>49096</v>
      </c>
      <c r="C179" s="22">
        <f t="shared" si="54"/>
        <v>167</v>
      </c>
      <c r="D179" s="23">
        <f t="shared" si="55"/>
        <v>17084.026653958681</v>
      </c>
      <c r="E179" s="23">
        <f t="shared" si="64"/>
        <v>53.387583293620871</v>
      </c>
      <c r="F179" s="23">
        <f t="shared" si="67"/>
        <v>483.82650293004735</v>
      </c>
      <c r="G179" s="52">
        <f t="shared" si="52"/>
        <v>338.33333333333331</v>
      </c>
      <c r="H179" s="23">
        <f t="shared" si="56"/>
        <v>0</v>
      </c>
      <c r="I179" s="24"/>
      <c r="J179" s="23">
        <f t="shared" si="57"/>
        <v>13.916666666666666</v>
      </c>
      <c r="K179" s="23">
        <f t="shared" si="58"/>
        <v>483.82650293004735</v>
      </c>
      <c r="L179" s="23">
        <f t="shared" si="59"/>
        <v>16600.200151028635</v>
      </c>
      <c r="M179" s="23">
        <f t="shared" si="60"/>
        <v>889.46408622366823</v>
      </c>
      <c r="N179" s="23">
        <f t="shared" si="61"/>
        <v>276</v>
      </c>
      <c r="O179" s="23">
        <f t="shared" si="62"/>
        <v>0</v>
      </c>
      <c r="P179" s="23">
        <f t="shared" si="53"/>
        <v>1165.4640862236683</v>
      </c>
      <c r="Q179" s="23">
        <f t="shared" si="63"/>
        <v>957.63758329362099</v>
      </c>
      <c r="R179" s="23">
        <f t="shared" si="70"/>
        <v>212937.38845047678</v>
      </c>
      <c r="S179" s="25">
        <f t="shared" si="71"/>
        <v>1615.387084796721</v>
      </c>
    </row>
    <row r="180" spans="1:19" x14ac:dyDescent="0.25">
      <c r="A180" t="s">
        <v>224</v>
      </c>
      <c r="B180" s="58">
        <v>49126</v>
      </c>
      <c r="C180" s="22">
        <f t="shared" si="54"/>
        <v>168</v>
      </c>
      <c r="D180" s="23">
        <f t="shared" si="55"/>
        <v>16600.200151028635</v>
      </c>
      <c r="E180" s="23">
        <f t="shared" si="64"/>
        <v>51.875625471964483</v>
      </c>
      <c r="F180" s="23">
        <f t="shared" si="67"/>
        <v>485.33846075170374</v>
      </c>
      <c r="G180" s="52">
        <f t="shared" si="52"/>
        <v>338.33333333333331</v>
      </c>
      <c r="H180" s="23">
        <f t="shared" si="56"/>
        <v>0</v>
      </c>
      <c r="I180" s="24"/>
      <c r="J180" s="23">
        <f t="shared" si="57"/>
        <v>13.916666666666666</v>
      </c>
      <c r="K180" s="23">
        <f t="shared" si="58"/>
        <v>485.33846075170374</v>
      </c>
      <c r="L180" s="23">
        <f t="shared" si="59"/>
        <v>16114.861690276932</v>
      </c>
      <c r="M180" s="23">
        <f t="shared" si="60"/>
        <v>889.46408622366812</v>
      </c>
      <c r="N180" s="23">
        <f t="shared" si="61"/>
        <v>276</v>
      </c>
      <c r="O180" s="23">
        <f t="shared" si="62"/>
        <v>0</v>
      </c>
      <c r="P180" s="23">
        <f t="shared" si="53"/>
        <v>1165.4640862236681</v>
      </c>
      <c r="Q180" s="23">
        <f t="shared" si="63"/>
        <v>956.12562547196444</v>
      </c>
      <c r="R180" s="23">
        <f t="shared" si="70"/>
        <v>212937.38845047678</v>
      </c>
      <c r="S180" s="25">
        <f t="shared" si="71"/>
        <v>1615.387084796721</v>
      </c>
    </row>
    <row r="181" spans="1:19" x14ac:dyDescent="0.25">
      <c r="A181" t="s">
        <v>225</v>
      </c>
      <c r="B181" s="58">
        <v>49157</v>
      </c>
      <c r="C181" s="22">
        <f t="shared" si="54"/>
        <v>169</v>
      </c>
      <c r="D181" s="23">
        <f t="shared" si="55"/>
        <v>16114.861690276932</v>
      </c>
      <c r="E181" s="23">
        <f t="shared" si="64"/>
        <v>50.358942782115406</v>
      </c>
      <c r="F181" s="23">
        <f t="shared" si="67"/>
        <v>486.85514344155285</v>
      </c>
      <c r="G181" s="52">
        <f t="shared" si="52"/>
        <v>338.33333333333331</v>
      </c>
      <c r="H181" s="23">
        <f t="shared" si="56"/>
        <v>0</v>
      </c>
      <c r="I181" s="24"/>
      <c r="J181" s="23">
        <f t="shared" si="57"/>
        <v>13.916666666666666</v>
      </c>
      <c r="K181" s="23">
        <f t="shared" si="58"/>
        <v>486.85514344155285</v>
      </c>
      <c r="L181" s="23">
        <f t="shared" si="59"/>
        <v>15628.006546835379</v>
      </c>
      <c r="M181" s="23">
        <f t="shared" si="60"/>
        <v>889.46408622366823</v>
      </c>
      <c r="N181" s="23">
        <f t="shared" si="61"/>
        <v>276</v>
      </c>
      <c r="O181" s="23">
        <f t="shared" si="62"/>
        <v>0</v>
      </c>
      <c r="P181" s="23">
        <f t="shared" si="53"/>
        <v>1165.4640862236683</v>
      </c>
      <c r="Q181" s="23">
        <f t="shared" si="63"/>
        <v>954.60894278211549</v>
      </c>
      <c r="R181" s="23">
        <f t="shared" ref="R181:R192" si="72">$R$180+ $R$180*$M$8</f>
        <v>219325.51010399108</v>
      </c>
      <c r="S181" s="25">
        <f t="shared" ref="S181:S192" si="73">$S$180 + ($S$180 * $T$5)</f>
        <v>1663.8486973406225</v>
      </c>
    </row>
    <row r="182" spans="1:19" x14ac:dyDescent="0.25">
      <c r="A182" t="s">
        <v>226</v>
      </c>
      <c r="B182" s="58">
        <v>49188</v>
      </c>
      <c r="C182" s="22">
        <f t="shared" si="54"/>
        <v>170</v>
      </c>
      <c r="D182" s="23">
        <f t="shared" si="55"/>
        <v>15628.006546835379</v>
      </c>
      <c r="E182" s="23">
        <f t="shared" si="64"/>
        <v>48.837520458860553</v>
      </c>
      <c r="F182" s="23">
        <f t="shared" si="67"/>
        <v>488.37656576480765</v>
      </c>
      <c r="G182" s="52">
        <f t="shared" si="52"/>
        <v>338.33333333333331</v>
      </c>
      <c r="H182" s="23">
        <f t="shared" si="56"/>
        <v>0</v>
      </c>
      <c r="I182" s="24"/>
      <c r="J182" s="23">
        <f t="shared" si="57"/>
        <v>13.916666666666666</v>
      </c>
      <c r="K182" s="23">
        <f t="shared" si="58"/>
        <v>488.37656576480765</v>
      </c>
      <c r="L182" s="23">
        <f t="shared" si="59"/>
        <v>15139.629981070571</v>
      </c>
      <c r="M182" s="23">
        <f t="shared" si="60"/>
        <v>889.46408622366823</v>
      </c>
      <c r="N182" s="23">
        <f t="shared" si="61"/>
        <v>276</v>
      </c>
      <c r="O182" s="23">
        <f t="shared" si="62"/>
        <v>0</v>
      </c>
      <c r="P182" s="23">
        <f t="shared" si="53"/>
        <v>1165.4640862236683</v>
      </c>
      <c r="Q182" s="23">
        <f t="shared" si="63"/>
        <v>953.08752045886069</v>
      </c>
      <c r="R182" s="23">
        <f t="shared" si="72"/>
        <v>219325.51010399108</v>
      </c>
      <c r="S182" s="25">
        <f t="shared" si="73"/>
        <v>1663.8486973406225</v>
      </c>
    </row>
    <row r="183" spans="1:19" x14ac:dyDescent="0.25">
      <c r="A183" t="s">
        <v>227</v>
      </c>
      <c r="B183" s="58">
        <v>49218</v>
      </c>
      <c r="C183" s="22">
        <f t="shared" si="54"/>
        <v>171</v>
      </c>
      <c r="D183" s="23">
        <f t="shared" si="55"/>
        <v>15139.629981070571</v>
      </c>
      <c r="E183" s="23">
        <f t="shared" si="64"/>
        <v>47.311343690845533</v>
      </c>
      <c r="F183" s="23">
        <f t="shared" si="67"/>
        <v>489.90274253282269</v>
      </c>
      <c r="G183" s="52">
        <f t="shared" si="52"/>
        <v>338.33333333333331</v>
      </c>
      <c r="H183" s="23">
        <f t="shared" si="56"/>
        <v>0</v>
      </c>
      <c r="I183" s="24"/>
      <c r="J183" s="23">
        <f t="shared" si="57"/>
        <v>13.916666666666666</v>
      </c>
      <c r="K183" s="23">
        <f t="shared" si="58"/>
        <v>489.90274253282269</v>
      </c>
      <c r="L183" s="23">
        <f t="shared" si="59"/>
        <v>14649.727238537749</v>
      </c>
      <c r="M183" s="23">
        <f t="shared" si="60"/>
        <v>889.46408622366823</v>
      </c>
      <c r="N183" s="23">
        <f t="shared" si="61"/>
        <v>276</v>
      </c>
      <c r="O183" s="23">
        <f t="shared" si="62"/>
        <v>0</v>
      </c>
      <c r="P183" s="23">
        <f t="shared" si="53"/>
        <v>1165.4640862236683</v>
      </c>
      <c r="Q183" s="23">
        <f t="shared" si="63"/>
        <v>951.56134369084566</v>
      </c>
      <c r="R183" s="23">
        <f t="shared" si="72"/>
        <v>219325.51010399108</v>
      </c>
      <c r="S183" s="25">
        <f t="shared" si="73"/>
        <v>1663.8486973406225</v>
      </c>
    </row>
    <row r="184" spans="1:19" x14ac:dyDescent="0.25">
      <c r="A184" t="s">
        <v>228</v>
      </c>
      <c r="B184" s="58">
        <v>49249</v>
      </c>
      <c r="C184" s="22">
        <f t="shared" si="54"/>
        <v>172</v>
      </c>
      <c r="D184" s="23">
        <f t="shared" si="55"/>
        <v>14649.727238537749</v>
      </c>
      <c r="E184" s="23">
        <f t="shared" si="64"/>
        <v>45.780397620430463</v>
      </c>
      <c r="F184" s="23">
        <f t="shared" si="67"/>
        <v>491.43368860323778</v>
      </c>
      <c r="G184" s="52">
        <f t="shared" si="52"/>
        <v>338.33333333333331</v>
      </c>
      <c r="H184" s="23">
        <f t="shared" si="56"/>
        <v>0</v>
      </c>
      <c r="I184" s="24"/>
      <c r="J184" s="23">
        <f t="shared" si="57"/>
        <v>13.916666666666666</v>
      </c>
      <c r="K184" s="23">
        <f t="shared" si="58"/>
        <v>491.43368860323778</v>
      </c>
      <c r="L184" s="23">
        <f t="shared" si="59"/>
        <v>14158.293549934511</v>
      </c>
      <c r="M184" s="23">
        <f t="shared" si="60"/>
        <v>889.46408622366823</v>
      </c>
      <c r="N184" s="23">
        <f t="shared" si="61"/>
        <v>276</v>
      </c>
      <c r="O184" s="23">
        <f t="shared" si="62"/>
        <v>0</v>
      </c>
      <c r="P184" s="23">
        <f t="shared" si="53"/>
        <v>1165.4640862236683</v>
      </c>
      <c r="Q184" s="23">
        <f t="shared" si="63"/>
        <v>950.03039762043056</v>
      </c>
      <c r="R184" s="23">
        <f t="shared" si="72"/>
        <v>219325.51010399108</v>
      </c>
      <c r="S184" s="25">
        <f t="shared" si="73"/>
        <v>1663.8486973406225</v>
      </c>
    </row>
    <row r="185" spans="1:19" x14ac:dyDescent="0.25">
      <c r="A185" t="s">
        <v>229</v>
      </c>
      <c r="B185" s="58">
        <v>49279</v>
      </c>
      <c r="C185" s="22">
        <f t="shared" si="54"/>
        <v>173</v>
      </c>
      <c r="D185" s="23">
        <f t="shared" si="55"/>
        <v>14158.293549934511</v>
      </c>
      <c r="E185" s="23">
        <f t="shared" si="64"/>
        <v>44.244667343545345</v>
      </c>
      <c r="F185" s="23">
        <f t="shared" si="67"/>
        <v>492.96941888012287</v>
      </c>
      <c r="G185" s="52">
        <f t="shared" si="52"/>
        <v>338.33333333333331</v>
      </c>
      <c r="H185" s="23">
        <f t="shared" si="56"/>
        <v>0</v>
      </c>
      <c r="I185" s="24"/>
      <c r="J185" s="23">
        <f t="shared" si="57"/>
        <v>13.916666666666666</v>
      </c>
      <c r="K185" s="23">
        <f t="shared" si="58"/>
        <v>492.96941888012287</v>
      </c>
      <c r="L185" s="23">
        <f t="shared" si="59"/>
        <v>13665.324131054389</v>
      </c>
      <c r="M185" s="23">
        <f t="shared" si="60"/>
        <v>889.46408622366823</v>
      </c>
      <c r="N185" s="23">
        <f t="shared" si="61"/>
        <v>276</v>
      </c>
      <c r="O185" s="23">
        <f t="shared" si="62"/>
        <v>0</v>
      </c>
      <c r="P185" s="23">
        <f t="shared" si="53"/>
        <v>1165.4640862236683</v>
      </c>
      <c r="Q185" s="23">
        <f t="shared" si="63"/>
        <v>948.49466734354542</v>
      </c>
      <c r="R185" s="23">
        <f t="shared" si="72"/>
        <v>219325.51010399108</v>
      </c>
      <c r="S185" s="25">
        <f t="shared" si="73"/>
        <v>1663.8486973406225</v>
      </c>
    </row>
    <row r="186" spans="1:19" x14ac:dyDescent="0.25">
      <c r="A186" t="s">
        <v>230</v>
      </c>
      <c r="B186" s="58">
        <v>49310</v>
      </c>
      <c r="C186" s="22">
        <f t="shared" si="54"/>
        <v>174</v>
      </c>
      <c r="D186" s="23">
        <f t="shared" si="55"/>
        <v>13665.324131054389</v>
      </c>
      <c r="E186" s="23">
        <f t="shared" si="64"/>
        <v>42.704137909544961</v>
      </c>
      <c r="F186" s="23">
        <f t="shared" si="67"/>
        <v>494.50994831412328</v>
      </c>
      <c r="G186" s="52">
        <f t="shared" si="52"/>
        <v>338.33333333333331</v>
      </c>
      <c r="H186" s="23">
        <f t="shared" si="56"/>
        <v>0</v>
      </c>
      <c r="I186" s="24"/>
      <c r="J186" s="23">
        <f t="shared" si="57"/>
        <v>13.916666666666666</v>
      </c>
      <c r="K186" s="23">
        <f t="shared" si="58"/>
        <v>494.50994831412328</v>
      </c>
      <c r="L186" s="23">
        <f t="shared" si="59"/>
        <v>13170.814182740265</v>
      </c>
      <c r="M186" s="23">
        <f t="shared" si="60"/>
        <v>889.46408622366823</v>
      </c>
      <c r="N186" s="23">
        <f t="shared" si="61"/>
        <v>276</v>
      </c>
      <c r="O186" s="23">
        <f t="shared" si="62"/>
        <v>0</v>
      </c>
      <c r="P186" s="23">
        <f t="shared" si="53"/>
        <v>1165.4640862236683</v>
      </c>
      <c r="Q186" s="23">
        <f t="shared" si="63"/>
        <v>946.95413790954512</v>
      </c>
      <c r="R186" s="23">
        <f t="shared" si="72"/>
        <v>219325.51010399108</v>
      </c>
      <c r="S186" s="25">
        <f t="shared" si="73"/>
        <v>1663.8486973406225</v>
      </c>
    </row>
    <row r="187" spans="1:19" x14ac:dyDescent="0.25">
      <c r="A187" t="s">
        <v>231</v>
      </c>
      <c r="B187" s="58">
        <v>49341</v>
      </c>
      <c r="C187" s="22">
        <f t="shared" si="54"/>
        <v>175</v>
      </c>
      <c r="D187" s="23">
        <f t="shared" si="55"/>
        <v>13170.814182740265</v>
      </c>
      <c r="E187" s="23">
        <f t="shared" si="64"/>
        <v>41.158794321063326</v>
      </c>
      <c r="F187" s="23">
        <f t="shared" si="67"/>
        <v>496.05529190260489</v>
      </c>
      <c r="G187" s="52">
        <f t="shared" si="52"/>
        <v>338.33333333333331</v>
      </c>
      <c r="H187" s="23">
        <f t="shared" si="56"/>
        <v>0</v>
      </c>
      <c r="I187" s="24"/>
      <c r="J187" s="23">
        <f t="shared" si="57"/>
        <v>13.916666666666666</v>
      </c>
      <c r="K187" s="23">
        <f t="shared" si="58"/>
        <v>496.05529190260489</v>
      </c>
      <c r="L187" s="23">
        <f t="shared" si="59"/>
        <v>12674.75889083766</v>
      </c>
      <c r="M187" s="23">
        <f t="shared" si="60"/>
        <v>889.46408622366823</v>
      </c>
      <c r="N187" s="23">
        <f t="shared" si="61"/>
        <v>276</v>
      </c>
      <c r="O187" s="23">
        <f t="shared" si="62"/>
        <v>0</v>
      </c>
      <c r="P187" s="23">
        <f t="shared" si="53"/>
        <v>1165.4640862236683</v>
      </c>
      <c r="Q187" s="23">
        <f t="shared" si="63"/>
        <v>945.4087943210634</v>
      </c>
      <c r="R187" s="23">
        <f t="shared" si="72"/>
        <v>219325.51010399108</v>
      </c>
      <c r="S187" s="25">
        <f t="shared" si="73"/>
        <v>1663.8486973406225</v>
      </c>
    </row>
    <row r="188" spans="1:19" x14ac:dyDescent="0.25">
      <c r="A188" t="s">
        <v>232</v>
      </c>
      <c r="B188" s="58">
        <v>49369</v>
      </c>
      <c r="C188" s="22">
        <f t="shared" si="54"/>
        <v>176</v>
      </c>
      <c r="D188" s="23">
        <f t="shared" si="55"/>
        <v>12674.75889083766</v>
      </c>
      <c r="E188" s="23">
        <f t="shared" si="64"/>
        <v>39.608621533867684</v>
      </c>
      <c r="F188" s="23">
        <f t="shared" si="67"/>
        <v>497.60546468980056</v>
      </c>
      <c r="G188" s="52">
        <f t="shared" si="52"/>
        <v>338.33333333333331</v>
      </c>
      <c r="H188" s="23">
        <f t="shared" si="56"/>
        <v>0</v>
      </c>
      <c r="I188" s="24"/>
      <c r="J188" s="23">
        <f t="shared" si="57"/>
        <v>13.916666666666666</v>
      </c>
      <c r="K188" s="23">
        <f t="shared" si="58"/>
        <v>497.60546468980056</v>
      </c>
      <c r="L188" s="23">
        <f t="shared" si="59"/>
        <v>12177.153426147859</v>
      </c>
      <c r="M188" s="23">
        <f t="shared" si="60"/>
        <v>889.46408622366823</v>
      </c>
      <c r="N188" s="23">
        <f t="shared" si="61"/>
        <v>276</v>
      </c>
      <c r="O188" s="23">
        <f t="shared" si="62"/>
        <v>0</v>
      </c>
      <c r="P188" s="23">
        <f t="shared" si="53"/>
        <v>1165.4640862236683</v>
      </c>
      <c r="Q188" s="23">
        <f t="shared" si="63"/>
        <v>943.85862153386779</v>
      </c>
      <c r="R188" s="23">
        <f t="shared" si="72"/>
        <v>219325.51010399108</v>
      </c>
      <c r="S188" s="25">
        <f t="shared" si="73"/>
        <v>1663.8486973406225</v>
      </c>
    </row>
    <row r="189" spans="1:19" x14ac:dyDescent="0.25">
      <c r="A189" t="s">
        <v>233</v>
      </c>
      <c r="B189" s="58">
        <v>49400</v>
      </c>
      <c r="C189" s="22">
        <f t="shared" si="54"/>
        <v>177</v>
      </c>
      <c r="D189" s="23">
        <f t="shared" si="55"/>
        <v>12177.153426147859</v>
      </c>
      <c r="E189" s="23">
        <f t="shared" si="64"/>
        <v>38.053604456712058</v>
      </c>
      <c r="F189" s="23">
        <f t="shared" si="67"/>
        <v>499.1604817669562</v>
      </c>
      <c r="G189" s="52">
        <f t="shared" si="52"/>
        <v>338.33333333333331</v>
      </c>
      <c r="H189" s="23">
        <f t="shared" si="56"/>
        <v>0</v>
      </c>
      <c r="I189" s="24"/>
      <c r="J189" s="23">
        <f t="shared" si="57"/>
        <v>13.916666666666666</v>
      </c>
      <c r="K189" s="23">
        <f t="shared" si="58"/>
        <v>499.1604817669562</v>
      </c>
      <c r="L189" s="23">
        <f t="shared" si="59"/>
        <v>11677.992944380903</v>
      </c>
      <c r="M189" s="23">
        <f t="shared" si="60"/>
        <v>889.46408622366823</v>
      </c>
      <c r="N189" s="23">
        <f t="shared" si="61"/>
        <v>276</v>
      </c>
      <c r="O189" s="23">
        <f t="shared" si="62"/>
        <v>0</v>
      </c>
      <c r="P189" s="23">
        <f t="shared" si="53"/>
        <v>1165.4640862236683</v>
      </c>
      <c r="Q189" s="23">
        <f t="shared" si="63"/>
        <v>942.30360445671215</v>
      </c>
      <c r="R189" s="23">
        <f t="shared" si="72"/>
        <v>219325.51010399108</v>
      </c>
      <c r="S189" s="25">
        <f t="shared" si="73"/>
        <v>1663.8486973406225</v>
      </c>
    </row>
    <row r="190" spans="1:19" x14ac:dyDescent="0.25">
      <c r="A190" t="s">
        <v>234</v>
      </c>
      <c r="B190" s="58">
        <v>49430</v>
      </c>
      <c r="C190" s="22">
        <f t="shared" si="54"/>
        <v>178</v>
      </c>
      <c r="D190" s="23">
        <f t="shared" si="55"/>
        <v>11677.992944380903</v>
      </c>
      <c r="E190" s="23">
        <f t="shared" si="64"/>
        <v>36.493727951190323</v>
      </c>
      <c r="F190" s="23">
        <f t="shared" si="67"/>
        <v>500.72035827247794</v>
      </c>
      <c r="G190" s="52">
        <f t="shared" si="52"/>
        <v>338.33333333333331</v>
      </c>
      <c r="H190" s="23">
        <f t="shared" si="56"/>
        <v>0</v>
      </c>
      <c r="I190" s="24"/>
      <c r="J190" s="23">
        <f t="shared" si="57"/>
        <v>13.916666666666666</v>
      </c>
      <c r="K190" s="23">
        <f t="shared" si="58"/>
        <v>500.72035827247794</v>
      </c>
      <c r="L190" s="23">
        <f t="shared" si="59"/>
        <v>11177.272586108425</v>
      </c>
      <c r="M190" s="23">
        <f t="shared" si="60"/>
        <v>889.46408622366823</v>
      </c>
      <c r="N190" s="23">
        <f t="shared" si="61"/>
        <v>276</v>
      </c>
      <c r="O190" s="23">
        <f t="shared" si="62"/>
        <v>0</v>
      </c>
      <c r="P190" s="23">
        <f t="shared" si="53"/>
        <v>1165.4640862236683</v>
      </c>
      <c r="Q190" s="23">
        <f t="shared" si="63"/>
        <v>940.74372795119041</v>
      </c>
      <c r="R190" s="23">
        <f t="shared" si="72"/>
        <v>219325.51010399108</v>
      </c>
      <c r="S190" s="25">
        <f t="shared" si="73"/>
        <v>1663.8486973406225</v>
      </c>
    </row>
    <row r="191" spans="1:19" x14ac:dyDescent="0.25">
      <c r="A191" t="s">
        <v>235</v>
      </c>
      <c r="B191" s="58">
        <v>49461</v>
      </c>
      <c r="C191" s="22">
        <f t="shared" si="54"/>
        <v>179</v>
      </c>
      <c r="D191" s="23">
        <f t="shared" si="55"/>
        <v>11177.272586108425</v>
      </c>
      <c r="E191" s="23">
        <f t="shared" si="64"/>
        <v>34.928976831588827</v>
      </c>
      <c r="F191" s="23">
        <f t="shared" si="67"/>
        <v>502.28510939207939</v>
      </c>
      <c r="G191" s="52">
        <f t="shared" si="52"/>
        <v>338.33333333333331</v>
      </c>
      <c r="H191" s="23">
        <f t="shared" si="56"/>
        <v>0</v>
      </c>
      <c r="I191" s="24"/>
      <c r="J191" s="23">
        <f t="shared" si="57"/>
        <v>13.916666666666666</v>
      </c>
      <c r="K191" s="23">
        <f t="shared" si="58"/>
        <v>502.28510939207939</v>
      </c>
      <c r="L191" s="23">
        <f t="shared" si="59"/>
        <v>10674.987476716346</v>
      </c>
      <c r="M191" s="23">
        <f t="shared" si="60"/>
        <v>889.46408622366823</v>
      </c>
      <c r="N191" s="23">
        <f t="shared" si="61"/>
        <v>276</v>
      </c>
      <c r="O191" s="23">
        <f t="shared" si="62"/>
        <v>0</v>
      </c>
      <c r="P191" s="23">
        <f t="shared" si="53"/>
        <v>1165.4640862236683</v>
      </c>
      <c r="Q191" s="23">
        <f t="shared" si="63"/>
        <v>939.1789768315889</v>
      </c>
      <c r="R191" s="23">
        <f t="shared" si="72"/>
        <v>219325.51010399108</v>
      </c>
      <c r="S191" s="25">
        <f t="shared" si="73"/>
        <v>1663.8486973406225</v>
      </c>
    </row>
    <row r="192" spans="1:19" x14ac:dyDescent="0.25">
      <c r="A192" t="s">
        <v>236</v>
      </c>
      <c r="B192" s="58">
        <v>49491</v>
      </c>
      <c r="C192" s="22">
        <f t="shared" si="54"/>
        <v>180</v>
      </c>
      <c r="D192" s="23">
        <f t="shared" si="55"/>
        <v>10674.987476716346</v>
      </c>
      <c r="E192" s="23">
        <f t="shared" si="64"/>
        <v>33.359335864738576</v>
      </c>
      <c r="F192" s="23">
        <f t="shared" si="67"/>
        <v>503.85475035892966</v>
      </c>
      <c r="G192" s="52">
        <f t="shared" si="52"/>
        <v>338.33333333333331</v>
      </c>
      <c r="H192" s="23">
        <f t="shared" si="56"/>
        <v>0</v>
      </c>
      <c r="I192" s="24"/>
      <c r="J192" s="23">
        <f t="shared" si="57"/>
        <v>13.916666666666666</v>
      </c>
      <c r="K192" s="23">
        <f t="shared" si="58"/>
        <v>503.85475035892966</v>
      </c>
      <c r="L192" s="23">
        <f t="shared" si="59"/>
        <v>10171.132726357417</v>
      </c>
      <c r="M192" s="23">
        <f t="shared" si="60"/>
        <v>889.46408622366823</v>
      </c>
      <c r="N192" s="23">
        <f t="shared" si="61"/>
        <v>276</v>
      </c>
      <c r="O192" s="23">
        <f t="shared" si="62"/>
        <v>0</v>
      </c>
      <c r="P192" s="23">
        <f t="shared" si="53"/>
        <v>1165.4640862236683</v>
      </c>
      <c r="Q192" s="23">
        <f t="shared" si="63"/>
        <v>937.60933586473868</v>
      </c>
      <c r="R192" s="23">
        <f t="shared" si="72"/>
        <v>219325.51010399108</v>
      </c>
      <c r="S192" s="25">
        <f t="shared" si="73"/>
        <v>1663.8486973406225</v>
      </c>
    </row>
    <row r="193" spans="1:19" x14ac:dyDescent="0.25">
      <c r="A193" t="s">
        <v>237</v>
      </c>
      <c r="B193" s="58">
        <v>49522</v>
      </c>
      <c r="C193" s="22">
        <f t="shared" si="54"/>
        <v>181</v>
      </c>
      <c r="D193" s="23">
        <f t="shared" si="55"/>
        <v>10171.132726357417</v>
      </c>
      <c r="E193" s="23">
        <f t="shared" si="64"/>
        <v>31.784789769866926</v>
      </c>
      <c r="F193" s="23">
        <f t="shared" si="67"/>
        <v>505.42929645380133</v>
      </c>
      <c r="G193" s="52">
        <f t="shared" si="52"/>
        <v>338.33333333333331</v>
      </c>
      <c r="H193" s="23">
        <f t="shared" si="56"/>
        <v>0</v>
      </c>
      <c r="I193" s="24"/>
      <c r="J193" s="23">
        <f t="shared" si="57"/>
        <v>13.916666666666666</v>
      </c>
      <c r="K193" s="23">
        <f t="shared" si="58"/>
        <v>505.42929645380133</v>
      </c>
      <c r="L193" s="23">
        <f t="shared" si="59"/>
        <v>9665.703429903615</v>
      </c>
      <c r="M193" s="23">
        <f t="shared" si="60"/>
        <v>889.46408622366823</v>
      </c>
      <c r="N193" s="23">
        <f t="shared" si="61"/>
        <v>276</v>
      </c>
      <c r="O193" s="23">
        <f t="shared" si="62"/>
        <v>0</v>
      </c>
      <c r="P193" s="23">
        <f t="shared" si="53"/>
        <v>1165.4640862236683</v>
      </c>
      <c r="Q193" s="23">
        <f t="shared" si="63"/>
        <v>936.03478976986707</v>
      </c>
      <c r="R193" s="23">
        <f t="shared" ref="R193:R204" si="74">$R$192+ $R$192*$M$8</f>
        <v>225905.27540711081</v>
      </c>
      <c r="S193" s="25">
        <f t="shared" ref="S193:S204" si="75">$S$192 + ($S$192 * $T$5)</f>
        <v>1713.7641582608412</v>
      </c>
    </row>
    <row r="194" spans="1:19" x14ac:dyDescent="0.25">
      <c r="A194" t="s">
        <v>238</v>
      </c>
      <c r="B194" s="58">
        <v>49553</v>
      </c>
      <c r="C194" s="22">
        <f t="shared" si="54"/>
        <v>182</v>
      </c>
      <c r="D194" s="23">
        <f t="shared" si="55"/>
        <v>9665.703429903615</v>
      </c>
      <c r="E194" s="23">
        <f t="shared" si="64"/>
        <v>30.205323218448793</v>
      </c>
      <c r="F194" s="23">
        <f t="shared" si="67"/>
        <v>507.00876300521946</v>
      </c>
      <c r="G194" s="52">
        <f t="shared" si="52"/>
        <v>338.33333333333331</v>
      </c>
      <c r="H194" s="23">
        <f t="shared" si="56"/>
        <v>0</v>
      </c>
      <c r="I194" s="24"/>
      <c r="J194" s="23">
        <f t="shared" si="57"/>
        <v>13.916666666666666</v>
      </c>
      <c r="K194" s="23">
        <f t="shared" si="58"/>
        <v>507.00876300521946</v>
      </c>
      <c r="L194" s="23">
        <f t="shared" si="59"/>
        <v>9158.6946668983946</v>
      </c>
      <c r="M194" s="23">
        <f t="shared" si="60"/>
        <v>889.46408622366823</v>
      </c>
      <c r="N194" s="23">
        <f t="shared" si="61"/>
        <v>276</v>
      </c>
      <c r="O194" s="23">
        <f t="shared" si="62"/>
        <v>0</v>
      </c>
      <c r="P194" s="23">
        <f t="shared" si="53"/>
        <v>1165.4640862236683</v>
      </c>
      <c r="Q194" s="23">
        <f t="shared" si="63"/>
        <v>934.45532321844894</v>
      </c>
      <c r="R194" s="23">
        <f t="shared" si="74"/>
        <v>225905.27540711081</v>
      </c>
      <c r="S194" s="25">
        <f t="shared" si="75"/>
        <v>1713.7641582608412</v>
      </c>
    </row>
    <row r="195" spans="1:19" x14ac:dyDescent="0.25">
      <c r="A195" t="s">
        <v>239</v>
      </c>
      <c r="B195" s="58">
        <v>49583</v>
      </c>
      <c r="C195" s="22">
        <f t="shared" si="54"/>
        <v>183</v>
      </c>
      <c r="D195" s="23">
        <f t="shared" si="55"/>
        <v>9158.6946668983946</v>
      </c>
      <c r="E195" s="23">
        <f t="shared" si="64"/>
        <v>28.620920834057483</v>
      </c>
      <c r="F195" s="23">
        <f t="shared" si="67"/>
        <v>508.59316538961076</v>
      </c>
      <c r="G195" s="52">
        <f t="shared" si="52"/>
        <v>338.33333333333331</v>
      </c>
      <c r="H195" s="23">
        <f t="shared" si="56"/>
        <v>0</v>
      </c>
      <c r="I195" s="24"/>
      <c r="J195" s="23">
        <f t="shared" si="57"/>
        <v>13.916666666666666</v>
      </c>
      <c r="K195" s="23">
        <f t="shared" si="58"/>
        <v>508.59316538961076</v>
      </c>
      <c r="L195" s="23">
        <f t="shared" si="59"/>
        <v>8650.1015015087833</v>
      </c>
      <c r="M195" s="23">
        <f t="shared" si="60"/>
        <v>889.46408622366823</v>
      </c>
      <c r="N195" s="23">
        <f t="shared" si="61"/>
        <v>276</v>
      </c>
      <c r="O195" s="23">
        <f t="shared" si="62"/>
        <v>0</v>
      </c>
      <c r="P195" s="23">
        <f t="shared" si="53"/>
        <v>1165.4640862236683</v>
      </c>
      <c r="Q195" s="23">
        <f t="shared" si="63"/>
        <v>932.87092083405764</v>
      </c>
      <c r="R195" s="23">
        <f t="shared" si="74"/>
        <v>225905.27540711081</v>
      </c>
      <c r="S195" s="25">
        <f t="shared" si="75"/>
        <v>1713.7641582608412</v>
      </c>
    </row>
    <row r="196" spans="1:19" x14ac:dyDescent="0.25">
      <c r="A196"/>
      <c r="B196"/>
      <c r="C196" s="22">
        <f t="shared" si="54"/>
        <v>184</v>
      </c>
      <c r="D196" s="23">
        <f t="shared" si="55"/>
        <v>8650.1015015087833</v>
      </c>
      <c r="E196" s="23">
        <f t="shared" si="64"/>
        <v>27.031567192214947</v>
      </c>
      <c r="F196" s="23">
        <f t="shared" si="67"/>
        <v>510.1825190314533</v>
      </c>
      <c r="G196" s="52">
        <f t="shared" si="52"/>
        <v>338.33333333333331</v>
      </c>
      <c r="H196" s="23">
        <f t="shared" si="56"/>
        <v>0</v>
      </c>
      <c r="I196" s="24"/>
      <c r="J196" s="23">
        <f t="shared" si="57"/>
        <v>13.916666666666666</v>
      </c>
      <c r="K196" s="23">
        <f t="shared" si="58"/>
        <v>510.1825190314533</v>
      </c>
      <c r="L196" s="23">
        <f t="shared" si="59"/>
        <v>8139.9189824773302</v>
      </c>
      <c r="M196" s="23">
        <f t="shared" si="60"/>
        <v>889.46408622366823</v>
      </c>
      <c r="N196" s="23">
        <f t="shared" si="61"/>
        <v>276</v>
      </c>
      <c r="O196" s="23">
        <f t="shared" si="62"/>
        <v>0</v>
      </c>
      <c r="P196" s="23">
        <f t="shared" si="53"/>
        <v>1165.4640862236683</v>
      </c>
      <c r="Q196" s="23">
        <f t="shared" si="63"/>
        <v>931.28156719221511</v>
      </c>
      <c r="R196" s="23">
        <f t="shared" si="74"/>
        <v>225905.27540711081</v>
      </c>
      <c r="S196" s="25">
        <f t="shared" si="75"/>
        <v>1713.7641582608412</v>
      </c>
    </row>
    <row r="197" spans="1:19" x14ac:dyDescent="0.25">
      <c r="A197"/>
      <c r="B197"/>
      <c r="C197" s="22">
        <f t="shared" si="54"/>
        <v>185</v>
      </c>
      <c r="D197" s="23">
        <f t="shared" si="55"/>
        <v>8139.9189824773302</v>
      </c>
      <c r="E197" s="23">
        <f t="shared" si="64"/>
        <v>25.437246820241654</v>
      </c>
      <c r="F197" s="23">
        <f t="shared" si="67"/>
        <v>511.77683940342661</v>
      </c>
      <c r="G197" s="52">
        <f t="shared" si="52"/>
        <v>338.33333333333331</v>
      </c>
      <c r="H197" s="23">
        <f t="shared" si="56"/>
        <v>0</v>
      </c>
      <c r="I197" s="24"/>
      <c r="J197" s="23">
        <f t="shared" si="57"/>
        <v>13.916666666666666</v>
      </c>
      <c r="K197" s="23">
        <f t="shared" si="58"/>
        <v>511.77683940342661</v>
      </c>
      <c r="L197" s="23">
        <f t="shared" si="59"/>
        <v>7628.1421430739038</v>
      </c>
      <c r="M197" s="23">
        <f t="shared" si="60"/>
        <v>889.46408622366823</v>
      </c>
      <c r="N197" s="23">
        <f t="shared" si="61"/>
        <v>276</v>
      </c>
      <c r="O197" s="23">
        <f t="shared" si="62"/>
        <v>0</v>
      </c>
      <c r="P197" s="23">
        <f t="shared" si="53"/>
        <v>1165.4640862236683</v>
      </c>
      <c r="Q197" s="23">
        <f t="shared" si="63"/>
        <v>929.68724682024174</v>
      </c>
      <c r="R197" s="23">
        <f t="shared" si="74"/>
        <v>225905.27540711081</v>
      </c>
      <c r="S197" s="25">
        <f t="shared" si="75"/>
        <v>1713.7641582608412</v>
      </c>
    </row>
    <row r="198" spans="1:19" x14ac:dyDescent="0.25">
      <c r="A198"/>
      <c r="B198"/>
      <c r="C198" s="22">
        <f t="shared" si="54"/>
        <v>186</v>
      </c>
      <c r="D198" s="23">
        <f t="shared" si="55"/>
        <v>7628.1421430739038</v>
      </c>
      <c r="E198" s="23">
        <f t="shared" si="64"/>
        <v>23.837944197105948</v>
      </c>
      <c r="F198" s="23">
        <f t="shared" si="67"/>
        <v>513.37614202656232</v>
      </c>
      <c r="G198" s="52">
        <f t="shared" si="52"/>
        <v>338.33333333333331</v>
      </c>
      <c r="H198" s="23">
        <f t="shared" si="56"/>
        <v>0</v>
      </c>
      <c r="I198" s="24"/>
      <c r="J198" s="23">
        <f t="shared" si="57"/>
        <v>13.916666666666666</v>
      </c>
      <c r="K198" s="23">
        <f t="shared" si="58"/>
        <v>513.37614202656232</v>
      </c>
      <c r="L198" s="23">
        <f t="shared" si="59"/>
        <v>7114.766001047341</v>
      </c>
      <c r="M198" s="23">
        <f t="shared" si="60"/>
        <v>889.46408622366823</v>
      </c>
      <c r="N198" s="23">
        <f t="shared" si="61"/>
        <v>276</v>
      </c>
      <c r="O198" s="23">
        <f t="shared" si="62"/>
        <v>0</v>
      </c>
      <c r="P198" s="23">
        <f t="shared" si="53"/>
        <v>1165.4640862236683</v>
      </c>
      <c r="Q198" s="23">
        <f t="shared" si="63"/>
        <v>928.08794419710603</v>
      </c>
      <c r="R198" s="23">
        <f t="shared" si="74"/>
        <v>225905.27540711081</v>
      </c>
      <c r="S198" s="25">
        <f t="shared" si="75"/>
        <v>1713.7641582608412</v>
      </c>
    </row>
    <row r="199" spans="1:19" x14ac:dyDescent="0.25">
      <c r="A199"/>
      <c r="B199"/>
      <c r="C199" s="22">
        <f t="shared" si="54"/>
        <v>187</v>
      </c>
      <c r="D199" s="23">
        <f t="shared" si="55"/>
        <v>7114.766001047341</v>
      </c>
      <c r="E199" s="23">
        <f t="shared" si="64"/>
        <v>22.23364375327294</v>
      </c>
      <c r="F199" s="23">
        <f t="shared" si="67"/>
        <v>514.98044247039525</v>
      </c>
      <c r="G199" s="52">
        <f t="shared" si="52"/>
        <v>338.33333333333331</v>
      </c>
      <c r="H199" s="23">
        <f t="shared" si="56"/>
        <v>0</v>
      </c>
      <c r="I199" s="24"/>
      <c r="J199" s="23">
        <f t="shared" si="57"/>
        <v>13.916666666666666</v>
      </c>
      <c r="K199" s="23">
        <f t="shared" si="58"/>
        <v>514.98044247039525</v>
      </c>
      <c r="L199" s="23">
        <f t="shared" si="59"/>
        <v>6599.7855585769457</v>
      </c>
      <c r="M199" s="23">
        <f t="shared" si="60"/>
        <v>889.46408622366823</v>
      </c>
      <c r="N199" s="23">
        <f t="shared" si="61"/>
        <v>276</v>
      </c>
      <c r="O199" s="23">
        <f t="shared" si="62"/>
        <v>0</v>
      </c>
      <c r="P199" s="23">
        <f t="shared" si="53"/>
        <v>1165.4640862236683</v>
      </c>
      <c r="Q199" s="23">
        <f t="shared" si="63"/>
        <v>926.4836437532731</v>
      </c>
      <c r="R199" s="23">
        <f t="shared" si="74"/>
        <v>225905.27540711081</v>
      </c>
      <c r="S199" s="25">
        <f t="shared" si="75"/>
        <v>1713.7641582608412</v>
      </c>
    </row>
    <row r="200" spans="1:19" x14ac:dyDescent="0.25">
      <c r="A200"/>
      <c r="B200"/>
      <c r="C200" s="22">
        <f t="shared" si="54"/>
        <v>188</v>
      </c>
      <c r="D200" s="23">
        <f t="shared" si="55"/>
        <v>6599.7855585769457</v>
      </c>
      <c r="E200" s="23">
        <f t="shared" si="64"/>
        <v>20.624329870552955</v>
      </c>
      <c r="F200" s="23">
        <f t="shared" si="67"/>
        <v>516.58975635311526</v>
      </c>
      <c r="G200" s="52">
        <f t="shared" si="52"/>
        <v>338.33333333333331</v>
      </c>
      <c r="H200" s="23">
        <f t="shared" si="56"/>
        <v>0</v>
      </c>
      <c r="I200" s="24"/>
      <c r="J200" s="23">
        <f t="shared" si="57"/>
        <v>13.916666666666666</v>
      </c>
      <c r="K200" s="23">
        <f t="shared" si="58"/>
        <v>516.58975635311526</v>
      </c>
      <c r="L200" s="23">
        <f t="shared" si="59"/>
        <v>6083.1958022238305</v>
      </c>
      <c r="M200" s="23">
        <f t="shared" si="60"/>
        <v>889.46408622366823</v>
      </c>
      <c r="N200" s="23">
        <f t="shared" si="61"/>
        <v>276</v>
      </c>
      <c r="O200" s="23">
        <f t="shared" si="62"/>
        <v>0</v>
      </c>
      <c r="P200" s="23">
        <f t="shared" si="53"/>
        <v>1165.4640862236683</v>
      </c>
      <c r="Q200" s="23">
        <f t="shared" si="63"/>
        <v>924.87432987055308</v>
      </c>
      <c r="R200" s="23">
        <f t="shared" si="74"/>
        <v>225905.27540711081</v>
      </c>
      <c r="S200" s="25">
        <f t="shared" si="75"/>
        <v>1713.7641582608412</v>
      </c>
    </row>
    <row r="201" spans="1:19" x14ac:dyDescent="0.25">
      <c r="A201"/>
      <c r="B201"/>
      <c r="C201" s="22">
        <f t="shared" si="54"/>
        <v>189</v>
      </c>
      <c r="D201" s="23">
        <f t="shared" si="55"/>
        <v>6083.1958022238305</v>
      </c>
      <c r="E201" s="23">
        <f t="shared" si="64"/>
        <v>19.00998688194947</v>
      </c>
      <c r="F201" s="23">
        <f t="shared" si="67"/>
        <v>518.2040993417188</v>
      </c>
      <c r="G201" s="52">
        <f t="shared" si="52"/>
        <v>338.33333333333331</v>
      </c>
      <c r="H201" s="23">
        <f t="shared" si="56"/>
        <v>0</v>
      </c>
      <c r="I201" s="24"/>
      <c r="J201" s="23">
        <f t="shared" si="57"/>
        <v>13.916666666666666</v>
      </c>
      <c r="K201" s="23">
        <f t="shared" si="58"/>
        <v>518.2040993417188</v>
      </c>
      <c r="L201" s="23">
        <f t="shared" si="59"/>
        <v>5564.9917028821119</v>
      </c>
      <c r="M201" s="23">
        <f t="shared" si="60"/>
        <v>889.46408622366823</v>
      </c>
      <c r="N201" s="23">
        <f t="shared" si="61"/>
        <v>276</v>
      </c>
      <c r="O201" s="23">
        <f t="shared" si="62"/>
        <v>0</v>
      </c>
      <c r="P201" s="23">
        <f t="shared" si="53"/>
        <v>1165.4640862236683</v>
      </c>
      <c r="Q201" s="23">
        <f t="shared" si="63"/>
        <v>923.25998688194954</v>
      </c>
      <c r="R201" s="23">
        <f t="shared" si="74"/>
        <v>225905.27540711081</v>
      </c>
      <c r="S201" s="25">
        <f t="shared" si="75"/>
        <v>1713.7641582608412</v>
      </c>
    </row>
    <row r="202" spans="1:19" x14ac:dyDescent="0.25">
      <c r="A202"/>
      <c r="B202"/>
      <c r="C202" s="22">
        <f t="shared" si="54"/>
        <v>190</v>
      </c>
      <c r="D202" s="23">
        <f t="shared" si="55"/>
        <v>5564.9917028821119</v>
      </c>
      <c r="E202" s="23">
        <f t="shared" si="64"/>
        <v>17.3905990715066</v>
      </c>
      <c r="F202" s="23">
        <f t="shared" si="67"/>
        <v>519.82348715216165</v>
      </c>
      <c r="G202" s="52">
        <f t="shared" si="52"/>
        <v>338.33333333333331</v>
      </c>
      <c r="H202" s="23">
        <f t="shared" si="56"/>
        <v>0</v>
      </c>
      <c r="I202" s="24"/>
      <c r="J202" s="23">
        <f t="shared" si="57"/>
        <v>13.916666666666666</v>
      </c>
      <c r="K202" s="23">
        <f t="shared" si="58"/>
        <v>519.82348715216165</v>
      </c>
      <c r="L202" s="23">
        <f t="shared" si="59"/>
        <v>5045.1682157299501</v>
      </c>
      <c r="M202" s="23">
        <f t="shared" si="60"/>
        <v>889.46408622366823</v>
      </c>
      <c r="N202" s="23">
        <f t="shared" si="61"/>
        <v>276</v>
      </c>
      <c r="O202" s="23">
        <f t="shared" si="62"/>
        <v>0</v>
      </c>
      <c r="P202" s="23">
        <f t="shared" si="53"/>
        <v>1165.4640862236683</v>
      </c>
      <c r="Q202" s="23">
        <f t="shared" si="63"/>
        <v>921.6405990715067</v>
      </c>
      <c r="R202" s="23">
        <f t="shared" si="74"/>
        <v>225905.27540711081</v>
      </c>
      <c r="S202" s="25">
        <f t="shared" si="75"/>
        <v>1713.7641582608412</v>
      </c>
    </row>
    <row r="203" spans="1:19" x14ac:dyDescent="0.25">
      <c r="A203"/>
      <c r="B203"/>
      <c r="C203" s="22">
        <f t="shared" si="54"/>
        <v>191</v>
      </c>
      <c r="D203" s="23">
        <f t="shared" si="55"/>
        <v>5045.1682157299501</v>
      </c>
      <c r="E203" s="23">
        <f t="shared" si="64"/>
        <v>15.766150674156092</v>
      </c>
      <c r="F203" s="23">
        <f t="shared" si="67"/>
        <v>521.44793554951218</v>
      </c>
      <c r="G203" s="52">
        <f t="shared" si="52"/>
        <v>338.33333333333331</v>
      </c>
      <c r="H203" s="23">
        <f t="shared" si="56"/>
        <v>0</v>
      </c>
      <c r="I203" s="24"/>
      <c r="J203" s="23">
        <f t="shared" si="57"/>
        <v>13.916666666666666</v>
      </c>
      <c r="K203" s="23">
        <f t="shared" si="58"/>
        <v>521.44793554951218</v>
      </c>
      <c r="L203" s="23">
        <f t="shared" si="59"/>
        <v>4523.7202801804378</v>
      </c>
      <c r="M203" s="23">
        <f t="shared" si="60"/>
        <v>889.46408622366823</v>
      </c>
      <c r="N203" s="23">
        <f t="shared" si="61"/>
        <v>276</v>
      </c>
      <c r="O203" s="23">
        <f t="shared" si="62"/>
        <v>0</v>
      </c>
      <c r="P203" s="23">
        <f t="shared" si="53"/>
        <v>1165.4640862236683</v>
      </c>
      <c r="Q203" s="23">
        <f t="shared" si="63"/>
        <v>920.01615067415617</v>
      </c>
      <c r="R203" s="23">
        <f t="shared" si="74"/>
        <v>225905.27540711081</v>
      </c>
      <c r="S203" s="25">
        <f t="shared" si="75"/>
        <v>1713.7641582608412</v>
      </c>
    </row>
    <row r="204" spans="1:19" x14ac:dyDescent="0.25">
      <c r="A204"/>
      <c r="B204"/>
      <c r="C204" s="22">
        <f t="shared" si="54"/>
        <v>192</v>
      </c>
      <c r="D204" s="23">
        <f t="shared" si="55"/>
        <v>4523.7202801804378</v>
      </c>
      <c r="E204" s="23">
        <f t="shared" si="64"/>
        <v>14.136625875563867</v>
      </c>
      <c r="F204" s="23">
        <f t="shared" si="67"/>
        <v>523.07746034810441</v>
      </c>
      <c r="G204" s="52">
        <f t="shared" si="52"/>
        <v>338.33333333333331</v>
      </c>
      <c r="H204" s="23">
        <f t="shared" si="56"/>
        <v>0</v>
      </c>
      <c r="I204" s="24"/>
      <c r="J204" s="23">
        <f t="shared" si="57"/>
        <v>13.916666666666666</v>
      </c>
      <c r="K204" s="23">
        <f t="shared" si="58"/>
        <v>523.07746034810441</v>
      </c>
      <c r="L204" s="23">
        <f t="shared" si="59"/>
        <v>4000.6428198323333</v>
      </c>
      <c r="M204" s="23">
        <f t="shared" si="60"/>
        <v>889.46408622366823</v>
      </c>
      <c r="N204" s="23">
        <f t="shared" si="61"/>
        <v>276</v>
      </c>
      <c r="O204" s="23">
        <f t="shared" si="62"/>
        <v>0</v>
      </c>
      <c r="P204" s="23">
        <f t="shared" si="53"/>
        <v>1165.4640862236683</v>
      </c>
      <c r="Q204" s="23">
        <f t="shared" si="63"/>
        <v>918.38662587556394</v>
      </c>
      <c r="R204" s="23">
        <f t="shared" si="74"/>
        <v>225905.27540711081</v>
      </c>
      <c r="S204" s="25">
        <f t="shared" si="75"/>
        <v>1713.7641582608412</v>
      </c>
    </row>
    <row r="205" spans="1:19" x14ac:dyDescent="0.25">
      <c r="A205"/>
      <c r="B205"/>
      <c r="C205" s="22">
        <f t="shared" si="54"/>
        <v>193</v>
      </c>
      <c r="D205" s="23">
        <f t="shared" si="55"/>
        <v>4000.6428198323333</v>
      </c>
      <c r="E205" s="23">
        <f t="shared" si="64"/>
        <v>12.50200881197604</v>
      </c>
      <c r="F205" s="23">
        <f t="shared" si="67"/>
        <v>524.71207741169223</v>
      </c>
      <c r="G205" s="52">
        <f t="shared" ref="G205:G268" si="76">+IF(C205="",0,$H$4)</f>
        <v>338.33333333333331</v>
      </c>
      <c r="H205" s="23">
        <f t="shared" si="56"/>
        <v>0</v>
      </c>
      <c r="I205" s="24"/>
      <c r="J205" s="23">
        <f t="shared" si="57"/>
        <v>13.916666666666666</v>
      </c>
      <c r="K205" s="23">
        <f t="shared" si="58"/>
        <v>524.71207741169223</v>
      </c>
      <c r="L205" s="23">
        <f t="shared" si="59"/>
        <v>3475.9307424206409</v>
      </c>
      <c r="M205" s="23">
        <f t="shared" si="60"/>
        <v>889.46408622366823</v>
      </c>
      <c r="N205" s="23">
        <f t="shared" si="61"/>
        <v>276</v>
      </c>
      <c r="O205" s="23">
        <f t="shared" si="62"/>
        <v>0</v>
      </c>
      <c r="P205" s="23">
        <f t="shared" ref="P205:P268" si="77">M205+N205-O205</f>
        <v>1165.4640862236683</v>
      </c>
      <c r="Q205" s="23">
        <f t="shared" si="63"/>
        <v>916.75200881197611</v>
      </c>
      <c r="R205" s="23">
        <f t="shared" ref="R205:R216" si="78">$R$204+ $R$204*$M$8</f>
        <v>232682.43366932412</v>
      </c>
      <c r="S205" s="25">
        <f t="shared" ref="S205:S216" si="79">$S$204 + ($S$204 * $T$5)</f>
        <v>1765.1770830086664</v>
      </c>
    </row>
    <row r="206" spans="1:19" x14ac:dyDescent="0.25">
      <c r="A206"/>
      <c r="B206"/>
      <c r="C206" s="22">
        <f t="shared" ref="C206:C269" si="80">+IF(L205&gt;1,IF(C205="","",C205+1),"")</f>
        <v>194</v>
      </c>
      <c r="D206" s="23">
        <f t="shared" ref="D206:D269" si="81">+IF(C206="","",L205)</f>
        <v>3475.9307424206409</v>
      </c>
      <c r="E206" s="23">
        <f t="shared" si="64"/>
        <v>10.862283570064502</v>
      </c>
      <c r="F206" s="23">
        <f t="shared" si="67"/>
        <v>526.35180265360373</v>
      </c>
      <c r="G206" s="52">
        <f t="shared" si="76"/>
        <v>338.33333333333331</v>
      </c>
      <c r="H206" s="23">
        <f t="shared" ref="H206:H269" si="82">+IF(C206="",0,IF(D206&lt;$D$4*0.8,0,$H$5))</f>
        <v>0</v>
      </c>
      <c r="I206" s="24"/>
      <c r="J206" s="23">
        <f t="shared" ref="J206:J269" si="83">IF(C206="","",167/12)</f>
        <v>13.916666666666666</v>
      </c>
      <c r="K206" s="23">
        <f t="shared" ref="K206:K269" si="84">+IF(C206="",0,F206+I206)</f>
        <v>526.35180265360373</v>
      </c>
      <c r="L206" s="23">
        <f t="shared" ref="L206:L269" si="85">+IF(C206="","",D206-K206)</f>
        <v>2949.5789397670369</v>
      </c>
      <c r="M206" s="23">
        <f t="shared" ref="M206:M269" si="86">J206+I206+H206+G206+F206+E206</f>
        <v>889.46408622366823</v>
      </c>
      <c r="N206" s="23">
        <f t="shared" ref="N206:N269" si="87">IF(C206="","",$M$4)</f>
        <v>276</v>
      </c>
      <c r="O206" s="23">
        <f t="shared" ref="O206:O269" si="88">(E206+G206)*0</f>
        <v>0</v>
      </c>
      <c r="P206" s="23">
        <f t="shared" si="77"/>
        <v>1165.4640862236683</v>
      </c>
      <c r="Q206" s="23">
        <f t="shared" ref="Q206:Q269" si="89">P206-F206+N206</f>
        <v>915.11228357006462</v>
      </c>
      <c r="R206" s="23">
        <f t="shared" si="78"/>
        <v>232682.43366932412</v>
      </c>
      <c r="S206" s="25">
        <f t="shared" si="79"/>
        <v>1765.1770830086664</v>
      </c>
    </row>
    <row r="207" spans="1:19" x14ac:dyDescent="0.25">
      <c r="A207"/>
      <c r="B207"/>
      <c r="C207" s="22">
        <f t="shared" si="80"/>
        <v>195</v>
      </c>
      <c r="D207" s="23">
        <f t="shared" si="81"/>
        <v>2949.5789397670369</v>
      </c>
      <c r="E207" s="23">
        <f t="shared" si="64"/>
        <v>9.2174341867719889</v>
      </c>
      <c r="F207" s="23">
        <f t="shared" si="67"/>
        <v>527.99665203689619</v>
      </c>
      <c r="G207" s="52">
        <f t="shared" si="76"/>
        <v>338.33333333333331</v>
      </c>
      <c r="H207" s="23">
        <f t="shared" si="82"/>
        <v>0</v>
      </c>
      <c r="I207" s="24"/>
      <c r="J207" s="23">
        <f t="shared" si="83"/>
        <v>13.916666666666666</v>
      </c>
      <c r="K207" s="23">
        <f t="shared" si="84"/>
        <v>527.99665203689619</v>
      </c>
      <c r="L207" s="23">
        <f t="shared" si="85"/>
        <v>2421.5822877301407</v>
      </c>
      <c r="M207" s="23">
        <f t="shared" si="86"/>
        <v>889.46408622366823</v>
      </c>
      <c r="N207" s="23">
        <f t="shared" si="87"/>
        <v>276</v>
      </c>
      <c r="O207" s="23">
        <f t="shared" si="88"/>
        <v>0</v>
      </c>
      <c r="P207" s="23">
        <f t="shared" si="77"/>
        <v>1165.4640862236683</v>
      </c>
      <c r="Q207" s="23">
        <f t="shared" si="89"/>
        <v>913.46743418677215</v>
      </c>
      <c r="R207" s="23">
        <f t="shared" si="78"/>
        <v>232682.43366932412</v>
      </c>
      <c r="S207" s="25">
        <f t="shared" si="79"/>
        <v>1765.1770830086664</v>
      </c>
    </row>
    <row r="208" spans="1:19" x14ac:dyDescent="0.25">
      <c r="A208"/>
      <c r="B208"/>
      <c r="C208" s="22">
        <f t="shared" si="80"/>
        <v>196</v>
      </c>
      <c r="D208" s="23">
        <f t="shared" si="81"/>
        <v>2421.5822877301407</v>
      </c>
      <c r="E208" s="23">
        <f t="shared" si="64"/>
        <v>7.5674446491566894</v>
      </c>
      <c r="F208" s="23">
        <f t="shared" si="67"/>
        <v>529.64664157451159</v>
      </c>
      <c r="G208" s="52">
        <f t="shared" si="76"/>
        <v>338.33333333333331</v>
      </c>
      <c r="H208" s="23">
        <f t="shared" si="82"/>
        <v>0</v>
      </c>
      <c r="I208" s="24"/>
      <c r="J208" s="23">
        <f t="shared" si="83"/>
        <v>13.916666666666666</v>
      </c>
      <c r="K208" s="23">
        <f t="shared" si="84"/>
        <v>529.64664157451159</v>
      </c>
      <c r="L208" s="23">
        <f t="shared" si="85"/>
        <v>1891.935646155629</v>
      </c>
      <c r="M208" s="23">
        <f t="shared" si="86"/>
        <v>889.46408622366823</v>
      </c>
      <c r="N208" s="23">
        <f t="shared" si="87"/>
        <v>276</v>
      </c>
      <c r="O208" s="23">
        <f t="shared" si="88"/>
        <v>0</v>
      </c>
      <c r="P208" s="23">
        <f t="shared" si="77"/>
        <v>1165.4640862236683</v>
      </c>
      <c r="Q208" s="23">
        <f t="shared" si="89"/>
        <v>911.81744464915676</v>
      </c>
      <c r="R208" s="23">
        <f t="shared" si="78"/>
        <v>232682.43366932412</v>
      </c>
      <c r="S208" s="25">
        <f t="shared" si="79"/>
        <v>1765.1770830086664</v>
      </c>
    </row>
    <row r="209" spans="1:19" x14ac:dyDescent="0.25">
      <c r="A209"/>
      <c r="B209"/>
      <c r="C209" s="22">
        <f t="shared" si="80"/>
        <v>197</v>
      </c>
      <c r="D209" s="23">
        <f t="shared" si="81"/>
        <v>1891.935646155629</v>
      </c>
      <c r="E209" s="23">
        <f t="shared" ref="E209:E272" si="90">IF(C209="","",($D$5/12)*D209)</f>
        <v>5.9122988942363399</v>
      </c>
      <c r="F209" s="23">
        <f t="shared" si="67"/>
        <v>531.30178732943193</v>
      </c>
      <c r="G209" s="52">
        <f t="shared" si="76"/>
        <v>338.33333333333331</v>
      </c>
      <c r="H209" s="23">
        <f t="shared" si="82"/>
        <v>0</v>
      </c>
      <c r="I209" s="24"/>
      <c r="J209" s="23">
        <f t="shared" si="83"/>
        <v>13.916666666666666</v>
      </c>
      <c r="K209" s="23">
        <f t="shared" si="84"/>
        <v>531.30178732943193</v>
      </c>
      <c r="L209" s="23">
        <f t="shared" si="85"/>
        <v>1360.633858826197</v>
      </c>
      <c r="M209" s="23">
        <f t="shared" si="86"/>
        <v>889.46408622366823</v>
      </c>
      <c r="N209" s="23">
        <f t="shared" si="87"/>
        <v>276</v>
      </c>
      <c r="O209" s="23">
        <f t="shared" si="88"/>
        <v>0</v>
      </c>
      <c r="P209" s="23">
        <f t="shared" si="77"/>
        <v>1165.4640862236683</v>
      </c>
      <c r="Q209" s="23">
        <f t="shared" si="89"/>
        <v>910.16229889423641</v>
      </c>
      <c r="R209" s="23">
        <f t="shared" si="78"/>
        <v>232682.43366932412</v>
      </c>
      <c r="S209" s="25">
        <f t="shared" si="79"/>
        <v>1765.1770830086664</v>
      </c>
    </row>
    <row r="210" spans="1:19" x14ac:dyDescent="0.25">
      <c r="A210"/>
      <c r="B210"/>
      <c r="C210" s="22">
        <f t="shared" si="80"/>
        <v>198</v>
      </c>
      <c r="D210" s="23">
        <f t="shared" si="81"/>
        <v>1360.633858826197</v>
      </c>
      <c r="E210" s="23">
        <f t="shared" si="90"/>
        <v>4.2519808088318651</v>
      </c>
      <c r="F210" s="23">
        <f>IF(C210="","",$D$8-E210)</f>
        <v>532.9621054148364</v>
      </c>
      <c r="G210" s="52">
        <f t="shared" si="76"/>
        <v>338.33333333333331</v>
      </c>
      <c r="H210" s="23">
        <f t="shared" si="82"/>
        <v>0</v>
      </c>
      <c r="I210" s="24"/>
      <c r="J210" s="23">
        <f t="shared" si="83"/>
        <v>13.916666666666666</v>
      </c>
      <c r="K210" s="23">
        <f t="shared" si="84"/>
        <v>532.9621054148364</v>
      </c>
      <c r="L210" s="23">
        <f t="shared" si="85"/>
        <v>827.67175341136056</v>
      </c>
      <c r="M210" s="23">
        <f t="shared" si="86"/>
        <v>889.46408622366823</v>
      </c>
      <c r="N210" s="23">
        <f t="shared" si="87"/>
        <v>276</v>
      </c>
      <c r="O210" s="23">
        <f t="shared" si="88"/>
        <v>0</v>
      </c>
      <c r="P210" s="23">
        <f t="shared" si="77"/>
        <v>1165.4640862236683</v>
      </c>
      <c r="Q210" s="23">
        <f t="shared" si="89"/>
        <v>908.50198080883195</v>
      </c>
      <c r="R210" s="23">
        <f t="shared" si="78"/>
        <v>232682.43366932412</v>
      </c>
      <c r="S210" s="25">
        <f t="shared" si="79"/>
        <v>1765.1770830086664</v>
      </c>
    </row>
    <row r="211" spans="1:19" x14ac:dyDescent="0.25">
      <c r="A211"/>
      <c r="B211"/>
      <c r="C211" s="22">
        <f t="shared" si="80"/>
        <v>199</v>
      </c>
      <c r="D211" s="23">
        <f t="shared" si="81"/>
        <v>827.67175341136056</v>
      </c>
      <c r="E211" s="23">
        <f t="shared" si="90"/>
        <v>2.5864742294105016</v>
      </c>
      <c r="F211" s="23">
        <f t="shared" ref="F211:F274" si="91">IF(C211="","",$D$8-E211)</f>
        <v>534.62761199425768</v>
      </c>
      <c r="G211" s="52">
        <f t="shared" si="76"/>
        <v>338.33333333333331</v>
      </c>
      <c r="H211" s="23">
        <f t="shared" si="82"/>
        <v>0</v>
      </c>
      <c r="I211" s="24"/>
      <c r="J211" s="23">
        <f t="shared" si="83"/>
        <v>13.916666666666666</v>
      </c>
      <c r="K211" s="23">
        <f t="shared" si="84"/>
        <v>534.62761199425768</v>
      </c>
      <c r="L211" s="23">
        <f t="shared" si="85"/>
        <v>293.04414141710288</v>
      </c>
      <c r="M211" s="23">
        <f t="shared" si="86"/>
        <v>889.46408622366823</v>
      </c>
      <c r="N211" s="23">
        <f t="shared" si="87"/>
        <v>276</v>
      </c>
      <c r="O211" s="23">
        <f t="shared" si="88"/>
        <v>0</v>
      </c>
      <c r="P211" s="23">
        <f t="shared" si="77"/>
        <v>1165.4640862236683</v>
      </c>
      <c r="Q211" s="23">
        <f t="shared" si="89"/>
        <v>906.83647422941067</v>
      </c>
      <c r="R211" s="23">
        <f t="shared" si="78"/>
        <v>232682.43366932412</v>
      </c>
      <c r="S211" s="25">
        <f t="shared" si="79"/>
        <v>1765.1770830086664</v>
      </c>
    </row>
    <row r="212" spans="1:19" x14ac:dyDescent="0.25">
      <c r="A212"/>
      <c r="B212"/>
      <c r="C212" s="22">
        <f t="shared" si="80"/>
        <v>200</v>
      </c>
      <c r="D212" s="23">
        <f t="shared" si="81"/>
        <v>293.04414141710288</v>
      </c>
      <c r="E212" s="23">
        <f t="shared" si="90"/>
        <v>0.91576294192844643</v>
      </c>
      <c r="F212" s="23">
        <f t="shared" si="91"/>
        <v>536.29832328173984</v>
      </c>
      <c r="G212" s="52">
        <f t="shared" si="76"/>
        <v>338.33333333333331</v>
      </c>
      <c r="H212" s="23">
        <f t="shared" si="82"/>
        <v>0</v>
      </c>
      <c r="I212" s="24"/>
      <c r="J212" s="23">
        <f t="shared" si="83"/>
        <v>13.916666666666666</v>
      </c>
      <c r="K212" s="23">
        <f t="shared" si="84"/>
        <v>536.29832328173984</v>
      </c>
      <c r="L212" s="23">
        <f t="shared" si="85"/>
        <v>-243.25418186463696</v>
      </c>
      <c r="M212" s="23">
        <f t="shared" si="86"/>
        <v>889.46408622366823</v>
      </c>
      <c r="N212" s="23">
        <f t="shared" si="87"/>
        <v>276</v>
      </c>
      <c r="O212" s="23">
        <f t="shared" si="88"/>
        <v>0</v>
      </c>
      <c r="P212" s="23">
        <f t="shared" si="77"/>
        <v>1165.4640862236683</v>
      </c>
      <c r="Q212" s="23">
        <f t="shared" si="89"/>
        <v>905.16576294192851</v>
      </c>
      <c r="R212" s="23">
        <f t="shared" si="78"/>
        <v>232682.43366932412</v>
      </c>
      <c r="S212" s="25">
        <f t="shared" si="79"/>
        <v>1765.1770830086664</v>
      </c>
    </row>
    <row r="213" spans="1:19" x14ac:dyDescent="0.25">
      <c r="A213"/>
      <c r="B213"/>
      <c r="C213" s="22" t="str">
        <f t="shared" si="80"/>
        <v/>
      </c>
      <c r="D213" s="23" t="str">
        <f t="shared" si="81"/>
        <v/>
      </c>
      <c r="E213" s="23" t="str">
        <f t="shared" si="90"/>
        <v/>
      </c>
      <c r="F213" s="23" t="str">
        <f t="shared" si="91"/>
        <v/>
      </c>
      <c r="G213" s="52">
        <f t="shared" si="76"/>
        <v>0</v>
      </c>
      <c r="H213" s="23">
        <f t="shared" si="82"/>
        <v>0</v>
      </c>
      <c r="I213" s="24"/>
      <c r="J213" s="23" t="str">
        <f t="shared" si="83"/>
        <v/>
      </c>
      <c r="K213" s="23">
        <f t="shared" si="84"/>
        <v>0</v>
      </c>
      <c r="L213" s="23" t="str">
        <f t="shared" si="85"/>
        <v/>
      </c>
      <c r="M213" s="23" t="e">
        <f t="shared" si="86"/>
        <v>#VALUE!</v>
      </c>
      <c r="N213" s="23" t="str">
        <f t="shared" si="87"/>
        <v/>
      </c>
      <c r="O213" s="23" t="e">
        <f t="shared" si="88"/>
        <v>#VALUE!</v>
      </c>
      <c r="P213" s="23" t="e">
        <f t="shared" si="77"/>
        <v>#VALUE!</v>
      </c>
      <c r="Q213" s="23" t="e">
        <f t="shared" si="89"/>
        <v>#VALUE!</v>
      </c>
      <c r="R213" s="23">
        <f t="shared" si="78"/>
        <v>232682.43366932412</v>
      </c>
      <c r="S213" s="25">
        <f t="shared" si="79"/>
        <v>1765.1770830086664</v>
      </c>
    </row>
    <row r="214" spans="1:19" x14ac:dyDescent="0.25">
      <c r="A214"/>
      <c r="B214"/>
      <c r="C214" s="22" t="str">
        <f t="shared" si="80"/>
        <v/>
      </c>
      <c r="D214" s="23" t="str">
        <f t="shared" si="81"/>
        <v/>
      </c>
      <c r="E214" s="23" t="str">
        <f t="shared" si="90"/>
        <v/>
      </c>
      <c r="F214" s="23" t="str">
        <f t="shared" si="91"/>
        <v/>
      </c>
      <c r="G214" s="52">
        <f t="shared" si="76"/>
        <v>0</v>
      </c>
      <c r="H214" s="23">
        <f t="shared" si="82"/>
        <v>0</v>
      </c>
      <c r="I214" s="24"/>
      <c r="J214" s="23" t="str">
        <f t="shared" si="83"/>
        <v/>
      </c>
      <c r="K214" s="23">
        <f t="shared" si="84"/>
        <v>0</v>
      </c>
      <c r="L214" s="23" t="str">
        <f t="shared" si="85"/>
        <v/>
      </c>
      <c r="M214" s="23" t="e">
        <f t="shared" si="86"/>
        <v>#VALUE!</v>
      </c>
      <c r="N214" s="23" t="str">
        <f t="shared" si="87"/>
        <v/>
      </c>
      <c r="O214" s="23" t="e">
        <f t="shared" si="88"/>
        <v>#VALUE!</v>
      </c>
      <c r="P214" s="23" t="e">
        <f t="shared" si="77"/>
        <v>#VALUE!</v>
      </c>
      <c r="Q214" s="23" t="e">
        <f t="shared" si="89"/>
        <v>#VALUE!</v>
      </c>
      <c r="R214" s="23">
        <f t="shared" si="78"/>
        <v>232682.43366932412</v>
      </c>
      <c r="S214" s="25">
        <f t="shared" si="79"/>
        <v>1765.1770830086664</v>
      </c>
    </row>
    <row r="215" spans="1:19" x14ac:dyDescent="0.25">
      <c r="A215"/>
      <c r="B215"/>
      <c r="C215" s="22" t="str">
        <f t="shared" si="80"/>
        <v/>
      </c>
      <c r="D215" s="23" t="str">
        <f t="shared" si="81"/>
        <v/>
      </c>
      <c r="E215" s="23" t="str">
        <f t="shared" si="90"/>
        <v/>
      </c>
      <c r="F215" s="23" t="str">
        <f t="shared" si="91"/>
        <v/>
      </c>
      <c r="G215" s="52">
        <f t="shared" si="76"/>
        <v>0</v>
      </c>
      <c r="H215" s="23">
        <f t="shared" si="82"/>
        <v>0</v>
      </c>
      <c r="I215" s="24"/>
      <c r="J215" s="23" t="str">
        <f t="shared" si="83"/>
        <v/>
      </c>
      <c r="K215" s="23">
        <f t="shared" si="84"/>
        <v>0</v>
      </c>
      <c r="L215" s="23" t="str">
        <f t="shared" si="85"/>
        <v/>
      </c>
      <c r="M215" s="23" t="e">
        <f t="shared" si="86"/>
        <v>#VALUE!</v>
      </c>
      <c r="N215" s="23" t="str">
        <f t="shared" si="87"/>
        <v/>
      </c>
      <c r="O215" s="23" t="e">
        <f t="shared" si="88"/>
        <v>#VALUE!</v>
      </c>
      <c r="P215" s="23" t="e">
        <f t="shared" si="77"/>
        <v>#VALUE!</v>
      </c>
      <c r="Q215" s="23" t="e">
        <f t="shared" si="89"/>
        <v>#VALUE!</v>
      </c>
      <c r="R215" s="23">
        <f t="shared" si="78"/>
        <v>232682.43366932412</v>
      </c>
      <c r="S215" s="25">
        <f t="shared" si="79"/>
        <v>1765.1770830086664</v>
      </c>
    </row>
    <row r="216" spans="1:19" x14ac:dyDescent="0.25">
      <c r="A216"/>
      <c r="B216"/>
      <c r="C216" s="22" t="str">
        <f t="shared" si="80"/>
        <v/>
      </c>
      <c r="D216" s="23" t="str">
        <f t="shared" si="81"/>
        <v/>
      </c>
      <c r="E216" s="23" t="str">
        <f t="shared" si="90"/>
        <v/>
      </c>
      <c r="F216" s="23" t="str">
        <f t="shared" si="91"/>
        <v/>
      </c>
      <c r="G216" s="52">
        <f t="shared" si="76"/>
        <v>0</v>
      </c>
      <c r="H216" s="23">
        <f t="shared" si="82"/>
        <v>0</v>
      </c>
      <c r="I216" s="24"/>
      <c r="J216" s="23" t="str">
        <f t="shared" si="83"/>
        <v/>
      </c>
      <c r="K216" s="23">
        <f t="shared" si="84"/>
        <v>0</v>
      </c>
      <c r="L216" s="23" t="str">
        <f t="shared" si="85"/>
        <v/>
      </c>
      <c r="M216" s="23" t="e">
        <f t="shared" si="86"/>
        <v>#VALUE!</v>
      </c>
      <c r="N216" s="23" t="str">
        <f t="shared" si="87"/>
        <v/>
      </c>
      <c r="O216" s="23" t="e">
        <f t="shared" si="88"/>
        <v>#VALUE!</v>
      </c>
      <c r="P216" s="23" t="e">
        <f t="shared" si="77"/>
        <v>#VALUE!</v>
      </c>
      <c r="Q216" s="23" t="e">
        <f t="shared" si="89"/>
        <v>#VALUE!</v>
      </c>
      <c r="R216" s="23">
        <f t="shared" si="78"/>
        <v>232682.43366932412</v>
      </c>
      <c r="S216" s="25">
        <f t="shared" si="79"/>
        <v>1765.1770830086664</v>
      </c>
    </row>
    <row r="217" spans="1:19" x14ac:dyDescent="0.25">
      <c r="A217"/>
      <c r="B217"/>
      <c r="C217" s="22" t="str">
        <f t="shared" si="80"/>
        <v/>
      </c>
      <c r="D217" s="23" t="str">
        <f t="shared" si="81"/>
        <v/>
      </c>
      <c r="E217" s="23" t="str">
        <f t="shared" si="90"/>
        <v/>
      </c>
      <c r="F217" s="23" t="str">
        <f t="shared" si="91"/>
        <v/>
      </c>
      <c r="G217" s="52">
        <f t="shared" si="76"/>
        <v>0</v>
      </c>
      <c r="H217" s="23">
        <f t="shared" si="82"/>
        <v>0</v>
      </c>
      <c r="I217" s="24"/>
      <c r="J217" s="23" t="str">
        <f t="shared" si="83"/>
        <v/>
      </c>
      <c r="K217" s="23">
        <f t="shared" si="84"/>
        <v>0</v>
      </c>
      <c r="L217" s="23" t="str">
        <f t="shared" si="85"/>
        <v/>
      </c>
      <c r="M217" s="23" t="e">
        <f t="shared" si="86"/>
        <v>#VALUE!</v>
      </c>
      <c r="N217" s="23" t="str">
        <f t="shared" si="87"/>
        <v/>
      </c>
      <c r="O217" s="23" t="e">
        <f t="shared" si="88"/>
        <v>#VALUE!</v>
      </c>
      <c r="P217" s="23" t="e">
        <f t="shared" si="77"/>
        <v>#VALUE!</v>
      </c>
      <c r="Q217" s="23" t="e">
        <f t="shared" si="89"/>
        <v>#VALUE!</v>
      </c>
      <c r="R217" s="23">
        <f t="shared" ref="R217:R228" si="92">$R$216+ $R$216*$M$8</f>
        <v>239662.90667940385</v>
      </c>
      <c r="S217" s="25">
        <f t="shared" ref="S217:S228" si="93">$S$216 + ($S$216 * $T$5)</f>
        <v>1818.1323954989264</v>
      </c>
    </row>
    <row r="218" spans="1:19" x14ac:dyDescent="0.25">
      <c r="A218"/>
      <c r="B218"/>
      <c r="C218" s="22" t="str">
        <f t="shared" si="80"/>
        <v/>
      </c>
      <c r="D218" s="23" t="str">
        <f t="shared" si="81"/>
        <v/>
      </c>
      <c r="E218" s="23" t="str">
        <f t="shared" si="90"/>
        <v/>
      </c>
      <c r="F218" s="23" t="str">
        <f t="shared" si="91"/>
        <v/>
      </c>
      <c r="G218" s="52">
        <f t="shared" si="76"/>
        <v>0</v>
      </c>
      <c r="H218" s="23">
        <f t="shared" si="82"/>
        <v>0</v>
      </c>
      <c r="I218" s="24"/>
      <c r="J218" s="23" t="str">
        <f t="shared" si="83"/>
        <v/>
      </c>
      <c r="K218" s="23">
        <f t="shared" si="84"/>
        <v>0</v>
      </c>
      <c r="L218" s="23" t="str">
        <f t="shared" si="85"/>
        <v/>
      </c>
      <c r="M218" s="23" t="e">
        <f t="shared" si="86"/>
        <v>#VALUE!</v>
      </c>
      <c r="N218" s="23" t="str">
        <f t="shared" si="87"/>
        <v/>
      </c>
      <c r="O218" s="23" t="e">
        <f t="shared" si="88"/>
        <v>#VALUE!</v>
      </c>
      <c r="P218" s="23" t="e">
        <f t="shared" si="77"/>
        <v>#VALUE!</v>
      </c>
      <c r="Q218" s="23" t="e">
        <f t="shared" si="89"/>
        <v>#VALUE!</v>
      </c>
      <c r="R218" s="23">
        <f t="shared" si="92"/>
        <v>239662.90667940385</v>
      </c>
      <c r="S218" s="25">
        <f t="shared" si="93"/>
        <v>1818.1323954989264</v>
      </c>
    </row>
    <row r="219" spans="1:19" x14ac:dyDescent="0.25">
      <c r="A219"/>
      <c r="B219"/>
      <c r="C219" s="22" t="str">
        <f t="shared" si="80"/>
        <v/>
      </c>
      <c r="D219" s="23" t="str">
        <f t="shared" si="81"/>
        <v/>
      </c>
      <c r="E219" s="23" t="str">
        <f t="shared" si="90"/>
        <v/>
      </c>
      <c r="F219" s="23" t="str">
        <f t="shared" si="91"/>
        <v/>
      </c>
      <c r="G219" s="52">
        <f t="shared" si="76"/>
        <v>0</v>
      </c>
      <c r="H219" s="23">
        <f t="shared" si="82"/>
        <v>0</v>
      </c>
      <c r="I219" s="24"/>
      <c r="J219" s="23" t="str">
        <f t="shared" si="83"/>
        <v/>
      </c>
      <c r="K219" s="23">
        <f t="shared" si="84"/>
        <v>0</v>
      </c>
      <c r="L219" s="23" t="str">
        <f t="shared" si="85"/>
        <v/>
      </c>
      <c r="M219" s="23" t="e">
        <f t="shared" si="86"/>
        <v>#VALUE!</v>
      </c>
      <c r="N219" s="23" t="str">
        <f t="shared" si="87"/>
        <v/>
      </c>
      <c r="O219" s="23" t="e">
        <f t="shared" si="88"/>
        <v>#VALUE!</v>
      </c>
      <c r="P219" s="23" t="e">
        <f t="shared" si="77"/>
        <v>#VALUE!</v>
      </c>
      <c r="Q219" s="23" t="e">
        <f t="shared" si="89"/>
        <v>#VALUE!</v>
      </c>
      <c r="R219" s="23">
        <f t="shared" si="92"/>
        <v>239662.90667940385</v>
      </c>
      <c r="S219" s="25">
        <f t="shared" si="93"/>
        <v>1818.1323954989264</v>
      </c>
    </row>
    <row r="220" spans="1:19" x14ac:dyDescent="0.25">
      <c r="A220"/>
      <c r="B220"/>
      <c r="C220" s="22" t="str">
        <f t="shared" si="80"/>
        <v/>
      </c>
      <c r="D220" s="23" t="str">
        <f t="shared" si="81"/>
        <v/>
      </c>
      <c r="E220" s="23" t="str">
        <f t="shared" si="90"/>
        <v/>
      </c>
      <c r="F220" s="23" t="str">
        <f t="shared" si="91"/>
        <v/>
      </c>
      <c r="G220" s="52">
        <f t="shared" si="76"/>
        <v>0</v>
      </c>
      <c r="H220" s="23">
        <f t="shared" si="82"/>
        <v>0</v>
      </c>
      <c r="I220" s="24"/>
      <c r="J220" s="23" t="str">
        <f t="shared" si="83"/>
        <v/>
      </c>
      <c r="K220" s="23">
        <f t="shared" si="84"/>
        <v>0</v>
      </c>
      <c r="L220" s="23" t="str">
        <f t="shared" si="85"/>
        <v/>
      </c>
      <c r="M220" s="23" t="e">
        <f t="shared" si="86"/>
        <v>#VALUE!</v>
      </c>
      <c r="N220" s="23" t="str">
        <f t="shared" si="87"/>
        <v/>
      </c>
      <c r="O220" s="23" t="e">
        <f t="shared" si="88"/>
        <v>#VALUE!</v>
      </c>
      <c r="P220" s="23" t="e">
        <f t="shared" si="77"/>
        <v>#VALUE!</v>
      </c>
      <c r="Q220" s="23" t="e">
        <f t="shared" si="89"/>
        <v>#VALUE!</v>
      </c>
      <c r="R220" s="23">
        <f t="shared" si="92"/>
        <v>239662.90667940385</v>
      </c>
      <c r="S220" s="25">
        <f t="shared" si="93"/>
        <v>1818.1323954989264</v>
      </c>
    </row>
    <row r="221" spans="1:19" x14ac:dyDescent="0.25">
      <c r="A221"/>
      <c r="B221"/>
      <c r="C221" s="22" t="str">
        <f t="shared" si="80"/>
        <v/>
      </c>
      <c r="D221" s="23" t="str">
        <f t="shared" si="81"/>
        <v/>
      </c>
      <c r="E221" s="23" t="str">
        <f t="shared" si="90"/>
        <v/>
      </c>
      <c r="F221" s="23" t="str">
        <f t="shared" si="91"/>
        <v/>
      </c>
      <c r="G221" s="52">
        <f t="shared" si="76"/>
        <v>0</v>
      </c>
      <c r="H221" s="23">
        <f t="shared" si="82"/>
        <v>0</v>
      </c>
      <c r="I221" s="24"/>
      <c r="J221" s="23" t="str">
        <f t="shared" si="83"/>
        <v/>
      </c>
      <c r="K221" s="23">
        <f t="shared" si="84"/>
        <v>0</v>
      </c>
      <c r="L221" s="23" t="str">
        <f t="shared" si="85"/>
        <v/>
      </c>
      <c r="M221" s="23" t="e">
        <f t="shared" si="86"/>
        <v>#VALUE!</v>
      </c>
      <c r="N221" s="23" t="str">
        <f t="shared" si="87"/>
        <v/>
      </c>
      <c r="O221" s="23" t="e">
        <f t="shared" si="88"/>
        <v>#VALUE!</v>
      </c>
      <c r="P221" s="23" t="e">
        <f t="shared" si="77"/>
        <v>#VALUE!</v>
      </c>
      <c r="Q221" s="23" t="e">
        <f t="shared" si="89"/>
        <v>#VALUE!</v>
      </c>
      <c r="R221" s="23">
        <f t="shared" si="92"/>
        <v>239662.90667940385</v>
      </c>
      <c r="S221" s="25">
        <f t="shared" si="93"/>
        <v>1818.1323954989264</v>
      </c>
    </row>
    <row r="222" spans="1:19" x14ac:dyDescent="0.25">
      <c r="A222"/>
      <c r="B222"/>
      <c r="C222" s="22" t="str">
        <f t="shared" si="80"/>
        <v/>
      </c>
      <c r="D222" s="23" t="str">
        <f t="shared" si="81"/>
        <v/>
      </c>
      <c r="E222" s="23" t="str">
        <f t="shared" si="90"/>
        <v/>
      </c>
      <c r="F222" s="23" t="str">
        <f t="shared" si="91"/>
        <v/>
      </c>
      <c r="G222" s="52">
        <f t="shared" si="76"/>
        <v>0</v>
      </c>
      <c r="H222" s="23">
        <f t="shared" si="82"/>
        <v>0</v>
      </c>
      <c r="I222" s="24"/>
      <c r="J222" s="23" t="str">
        <f t="shared" si="83"/>
        <v/>
      </c>
      <c r="K222" s="23">
        <f t="shared" si="84"/>
        <v>0</v>
      </c>
      <c r="L222" s="23" t="str">
        <f t="shared" si="85"/>
        <v/>
      </c>
      <c r="M222" s="23" t="e">
        <f t="shared" si="86"/>
        <v>#VALUE!</v>
      </c>
      <c r="N222" s="23" t="str">
        <f t="shared" si="87"/>
        <v/>
      </c>
      <c r="O222" s="23" t="e">
        <f t="shared" si="88"/>
        <v>#VALUE!</v>
      </c>
      <c r="P222" s="23" t="e">
        <f t="shared" si="77"/>
        <v>#VALUE!</v>
      </c>
      <c r="Q222" s="23" t="e">
        <f t="shared" si="89"/>
        <v>#VALUE!</v>
      </c>
      <c r="R222" s="23">
        <f t="shared" si="92"/>
        <v>239662.90667940385</v>
      </c>
      <c r="S222" s="25">
        <f t="shared" si="93"/>
        <v>1818.1323954989264</v>
      </c>
    </row>
    <row r="223" spans="1:19" x14ac:dyDescent="0.25">
      <c r="A223"/>
      <c r="B223"/>
      <c r="C223" s="22" t="str">
        <f t="shared" si="80"/>
        <v/>
      </c>
      <c r="D223" s="23" t="str">
        <f t="shared" si="81"/>
        <v/>
      </c>
      <c r="E223" s="23" t="str">
        <f t="shared" si="90"/>
        <v/>
      </c>
      <c r="F223" s="23" t="str">
        <f t="shared" si="91"/>
        <v/>
      </c>
      <c r="G223" s="52">
        <f t="shared" si="76"/>
        <v>0</v>
      </c>
      <c r="H223" s="23">
        <f t="shared" si="82"/>
        <v>0</v>
      </c>
      <c r="I223" s="24"/>
      <c r="J223" s="23" t="str">
        <f t="shared" si="83"/>
        <v/>
      </c>
      <c r="K223" s="23">
        <f t="shared" si="84"/>
        <v>0</v>
      </c>
      <c r="L223" s="23" t="str">
        <f t="shared" si="85"/>
        <v/>
      </c>
      <c r="M223" s="23" t="e">
        <f t="shared" si="86"/>
        <v>#VALUE!</v>
      </c>
      <c r="N223" s="23" t="str">
        <f t="shared" si="87"/>
        <v/>
      </c>
      <c r="O223" s="23" t="e">
        <f t="shared" si="88"/>
        <v>#VALUE!</v>
      </c>
      <c r="P223" s="23" t="e">
        <f t="shared" si="77"/>
        <v>#VALUE!</v>
      </c>
      <c r="Q223" s="23" t="e">
        <f t="shared" si="89"/>
        <v>#VALUE!</v>
      </c>
      <c r="R223" s="23">
        <f t="shared" si="92"/>
        <v>239662.90667940385</v>
      </c>
      <c r="S223" s="25">
        <f t="shared" si="93"/>
        <v>1818.1323954989264</v>
      </c>
    </row>
    <row r="224" spans="1:19" x14ac:dyDescent="0.25">
      <c r="A224"/>
      <c r="B224"/>
      <c r="C224" s="22" t="str">
        <f t="shared" si="80"/>
        <v/>
      </c>
      <c r="D224" s="23" t="str">
        <f t="shared" si="81"/>
        <v/>
      </c>
      <c r="E224" s="23" t="str">
        <f t="shared" si="90"/>
        <v/>
      </c>
      <c r="F224" s="23" t="str">
        <f t="shared" si="91"/>
        <v/>
      </c>
      <c r="G224" s="52">
        <f t="shared" si="76"/>
        <v>0</v>
      </c>
      <c r="H224" s="23">
        <f t="shared" si="82"/>
        <v>0</v>
      </c>
      <c r="I224" s="24"/>
      <c r="J224" s="23" t="str">
        <f t="shared" si="83"/>
        <v/>
      </c>
      <c r="K224" s="23">
        <f t="shared" si="84"/>
        <v>0</v>
      </c>
      <c r="L224" s="23" t="str">
        <f t="shared" si="85"/>
        <v/>
      </c>
      <c r="M224" s="23" t="e">
        <f t="shared" si="86"/>
        <v>#VALUE!</v>
      </c>
      <c r="N224" s="23" t="str">
        <f t="shared" si="87"/>
        <v/>
      </c>
      <c r="O224" s="23" t="e">
        <f t="shared" si="88"/>
        <v>#VALUE!</v>
      </c>
      <c r="P224" s="23" t="e">
        <f t="shared" si="77"/>
        <v>#VALUE!</v>
      </c>
      <c r="Q224" s="23" t="e">
        <f t="shared" si="89"/>
        <v>#VALUE!</v>
      </c>
      <c r="R224" s="23">
        <f t="shared" si="92"/>
        <v>239662.90667940385</v>
      </c>
      <c r="S224" s="25">
        <f t="shared" si="93"/>
        <v>1818.1323954989264</v>
      </c>
    </row>
    <row r="225" spans="1:19" x14ac:dyDescent="0.25">
      <c r="A225"/>
      <c r="B225"/>
      <c r="C225" s="22" t="str">
        <f t="shared" si="80"/>
        <v/>
      </c>
      <c r="D225" s="23" t="str">
        <f t="shared" si="81"/>
        <v/>
      </c>
      <c r="E225" s="23" t="str">
        <f t="shared" si="90"/>
        <v/>
      </c>
      <c r="F225" s="23" t="str">
        <f t="shared" si="91"/>
        <v/>
      </c>
      <c r="G225" s="52">
        <f t="shared" si="76"/>
        <v>0</v>
      </c>
      <c r="H225" s="23">
        <f t="shared" si="82"/>
        <v>0</v>
      </c>
      <c r="I225" s="24"/>
      <c r="J225" s="23" t="str">
        <f t="shared" si="83"/>
        <v/>
      </c>
      <c r="K225" s="23">
        <f t="shared" si="84"/>
        <v>0</v>
      </c>
      <c r="L225" s="23" t="str">
        <f t="shared" si="85"/>
        <v/>
      </c>
      <c r="M225" s="23" t="e">
        <f t="shared" si="86"/>
        <v>#VALUE!</v>
      </c>
      <c r="N225" s="23" t="str">
        <f t="shared" si="87"/>
        <v/>
      </c>
      <c r="O225" s="23" t="e">
        <f t="shared" si="88"/>
        <v>#VALUE!</v>
      </c>
      <c r="P225" s="23" t="e">
        <f t="shared" si="77"/>
        <v>#VALUE!</v>
      </c>
      <c r="Q225" s="23" t="e">
        <f t="shared" si="89"/>
        <v>#VALUE!</v>
      </c>
      <c r="R225" s="23">
        <f t="shared" si="92"/>
        <v>239662.90667940385</v>
      </c>
      <c r="S225" s="25">
        <f t="shared" si="93"/>
        <v>1818.1323954989264</v>
      </c>
    </row>
    <row r="226" spans="1:19" x14ac:dyDescent="0.25">
      <c r="A226"/>
      <c r="B226"/>
      <c r="C226" s="22" t="str">
        <f t="shared" si="80"/>
        <v/>
      </c>
      <c r="D226" s="23" t="str">
        <f t="shared" si="81"/>
        <v/>
      </c>
      <c r="E226" s="23" t="str">
        <f t="shared" si="90"/>
        <v/>
      </c>
      <c r="F226" s="23" t="str">
        <f t="shared" si="91"/>
        <v/>
      </c>
      <c r="G226" s="52">
        <f t="shared" si="76"/>
        <v>0</v>
      </c>
      <c r="H226" s="23">
        <f t="shared" si="82"/>
        <v>0</v>
      </c>
      <c r="I226" s="24"/>
      <c r="J226" s="23" t="str">
        <f t="shared" si="83"/>
        <v/>
      </c>
      <c r="K226" s="23">
        <f t="shared" si="84"/>
        <v>0</v>
      </c>
      <c r="L226" s="23" t="str">
        <f t="shared" si="85"/>
        <v/>
      </c>
      <c r="M226" s="23" t="e">
        <f t="shared" si="86"/>
        <v>#VALUE!</v>
      </c>
      <c r="N226" s="23" t="str">
        <f t="shared" si="87"/>
        <v/>
      </c>
      <c r="O226" s="23" t="e">
        <f t="shared" si="88"/>
        <v>#VALUE!</v>
      </c>
      <c r="P226" s="23" t="e">
        <f t="shared" si="77"/>
        <v>#VALUE!</v>
      </c>
      <c r="Q226" s="23" t="e">
        <f t="shared" si="89"/>
        <v>#VALUE!</v>
      </c>
      <c r="R226" s="23">
        <f t="shared" si="92"/>
        <v>239662.90667940385</v>
      </c>
      <c r="S226" s="25">
        <f t="shared" si="93"/>
        <v>1818.1323954989264</v>
      </c>
    </row>
    <row r="227" spans="1:19" x14ac:dyDescent="0.25">
      <c r="A227"/>
      <c r="B227"/>
      <c r="C227" s="22" t="str">
        <f t="shared" si="80"/>
        <v/>
      </c>
      <c r="D227" s="23" t="str">
        <f t="shared" si="81"/>
        <v/>
      </c>
      <c r="E227" s="23" t="str">
        <f t="shared" si="90"/>
        <v/>
      </c>
      <c r="F227" s="23" t="str">
        <f t="shared" si="91"/>
        <v/>
      </c>
      <c r="G227" s="52">
        <f t="shared" si="76"/>
        <v>0</v>
      </c>
      <c r="H227" s="23">
        <f t="shared" si="82"/>
        <v>0</v>
      </c>
      <c r="I227" s="24"/>
      <c r="J227" s="23" t="str">
        <f t="shared" si="83"/>
        <v/>
      </c>
      <c r="K227" s="23">
        <f t="shared" si="84"/>
        <v>0</v>
      </c>
      <c r="L227" s="23" t="str">
        <f t="shared" si="85"/>
        <v/>
      </c>
      <c r="M227" s="23" t="e">
        <f t="shared" si="86"/>
        <v>#VALUE!</v>
      </c>
      <c r="N227" s="23" t="str">
        <f t="shared" si="87"/>
        <v/>
      </c>
      <c r="O227" s="23" t="e">
        <f t="shared" si="88"/>
        <v>#VALUE!</v>
      </c>
      <c r="P227" s="23" t="e">
        <f t="shared" si="77"/>
        <v>#VALUE!</v>
      </c>
      <c r="Q227" s="23" t="e">
        <f t="shared" si="89"/>
        <v>#VALUE!</v>
      </c>
      <c r="R227" s="23">
        <f t="shared" si="92"/>
        <v>239662.90667940385</v>
      </c>
      <c r="S227" s="25">
        <f t="shared" si="93"/>
        <v>1818.1323954989264</v>
      </c>
    </row>
    <row r="228" spans="1:19" x14ac:dyDescent="0.25">
      <c r="A228"/>
      <c r="B228"/>
      <c r="C228" s="22" t="str">
        <f t="shared" si="80"/>
        <v/>
      </c>
      <c r="D228" s="23" t="str">
        <f t="shared" si="81"/>
        <v/>
      </c>
      <c r="E228" s="23" t="str">
        <f t="shared" si="90"/>
        <v/>
      </c>
      <c r="F228" s="23" t="str">
        <f t="shared" si="91"/>
        <v/>
      </c>
      <c r="G228" s="52">
        <f t="shared" si="76"/>
        <v>0</v>
      </c>
      <c r="H228" s="23">
        <f t="shared" si="82"/>
        <v>0</v>
      </c>
      <c r="I228" s="24"/>
      <c r="J228" s="23" t="str">
        <f t="shared" si="83"/>
        <v/>
      </c>
      <c r="K228" s="23">
        <f t="shared" si="84"/>
        <v>0</v>
      </c>
      <c r="L228" s="23" t="str">
        <f t="shared" si="85"/>
        <v/>
      </c>
      <c r="M228" s="23" t="e">
        <f t="shared" si="86"/>
        <v>#VALUE!</v>
      </c>
      <c r="N228" s="23" t="str">
        <f t="shared" si="87"/>
        <v/>
      </c>
      <c r="O228" s="23" t="e">
        <f t="shared" si="88"/>
        <v>#VALUE!</v>
      </c>
      <c r="P228" s="23" t="e">
        <f t="shared" si="77"/>
        <v>#VALUE!</v>
      </c>
      <c r="Q228" s="23" t="e">
        <f t="shared" si="89"/>
        <v>#VALUE!</v>
      </c>
      <c r="R228" s="23">
        <f t="shared" si="92"/>
        <v>239662.90667940385</v>
      </c>
      <c r="S228" s="25">
        <f t="shared" si="93"/>
        <v>1818.1323954989264</v>
      </c>
    </row>
    <row r="229" spans="1:19" x14ac:dyDescent="0.25">
      <c r="A229"/>
      <c r="B229"/>
      <c r="C229" s="22" t="str">
        <f t="shared" si="80"/>
        <v/>
      </c>
      <c r="D229" s="23" t="str">
        <f t="shared" si="81"/>
        <v/>
      </c>
      <c r="E229" s="23" t="str">
        <f t="shared" si="90"/>
        <v/>
      </c>
      <c r="F229" s="23" t="str">
        <f t="shared" si="91"/>
        <v/>
      </c>
      <c r="G229" s="52">
        <f t="shared" si="76"/>
        <v>0</v>
      </c>
      <c r="H229" s="23">
        <f t="shared" si="82"/>
        <v>0</v>
      </c>
      <c r="I229" s="24"/>
      <c r="J229" s="23" t="str">
        <f t="shared" si="83"/>
        <v/>
      </c>
      <c r="K229" s="23">
        <f t="shared" si="84"/>
        <v>0</v>
      </c>
      <c r="L229" s="23" t="str">
        <f t="shared" si="85"/>
        <v/>
      </c>
      <c r="M229" s="23" t="e">
        <f t="shared" si="86"/>
        <v>#VALUE!</v>
      </c>
      <c r="N229" s="23" t="str">
        <f t="shared" si="87"/>
        <v/>
      </c>
      <c r="O229" s="23" t="e">
        <f t="shared" si="88"/>
        <v>#VALUE!</v>
      </c>
      <c r="P229" s="23" t="e">
        <f t="shared" si="77"/>
        <v>#VALUE!</v>
      </c>
      <c r="Q229" s="23" t="e">
        <f t="shared" si="89"/>
        <v>#VALUE!</v>
      </c>
      <c r="R229" s="23">
        <f t="shared" ref="R229:R240" si="94">$R$228+ $R$228*$M$8</f>
        <v>246852.79387978595</v>
      </c>
      <c r="S229" s="25">
        <f t="shared" ref="S229:S240" si="95">$S$228 + ($S$228 * $T$5)</f>
        <v>1872.6763673638941</v>
      </c>
    </row>
    <row r="230" spans="1:19" x14ac:dyDescent="0.25">
      <c r="A230"/>
      <c r="B230"/>
      <c r="C230" s="22" t="str">
        <f t="shared" si="80"/>
        <v/>
      </c>
      <c r="D230" s="23" t="str">
        <f t="shared" si="81"/>
        <v/>
      </c>
      <c r="E230" s="23" t="str">
        <f t="shared" si="90"/>
        <v/>
      </c>
      <c r="F230" s="23" t="str">
        <f t="shared" si="91"/>
        <v/>
      </c>
      <c r="G230" s="52">
        <f t="shared" si="76"/>
        <v>0</v>
      </c>
      <c r="H230" s="23">
        <f t="shared" si="82"/>
        <v>0</v>
      </c>
      <c r="I230" s="24"/>
      <c r="J230" s="23" t="str">
        <f t="shared" si="83"/>
        <v/>
      </c>
      <c r="K230" s="23">
        <f t="shared" si="84"/>
        <v>0</v>
      </c>
      <c r="L230" s="23" t="str">
        <f t="shared" si="85"/>
        <v/>
      </c>
      <c r="M230" s="23" t="e">
        <f t="shared" si="86"/>
        <v>#VALUE!</v>
      </c>
      <c r="N230" s="23" t="str">
        <f t="shared" si="87"/>
        <v/>
      </c>
      <c r="O230" s="23" t="e">
        <f t="shared" si="88"/>
        <v>#VALUE!</v>
      </c>
      <c r="P230" s="23" t="e">
        <f t="shared" si="77"/>
        <v>#VALUE!</v>
      </c>
      <c r="Q230" s="23" t="e">
        <f t="shared" si="89"/>
        <v>#VALUE!</v>
      </c>
      <c r="R230" s="23">
        <f t="shared" si="94"/>
        <v>246852.79387978595</v>
      </c>
      <c r="S230" s="25">
        <f t="shared" si="95"/>
        <v>1872.6763673638941</v>
      </c>
    </row>
    <row r="231" spans="1:19" x14ac:dyDescent="0.25">
      <c r="A231"/>
      <c r="B231"/>
      <c r="C231" s="22" t="str">
        <f t="shared" si="80"/>
        <v/>
      </c>
      <c r="D231" s="23" t="str">
        <f t="shared" si="81"/>
        <v/>
      </c>
      <c r="E231" s="23" t="str">
        <f t="shared" si="90"/>
        <v/>
      </c>
      <c r="F231" s="23" t="str">
        <f t="shared" si="91"/>
        <v/>
      </c>
      <c r="G231" s="52">
        <f t="shared" si="76"/>
        <v>0</v>
      </c>
      <c r="H231" s="23">
        <f t="shared" si="82"/>
        <v>0</v>
      </c>
      <c r="I231" s="24"/>
      <c r="J231" s="23" t="str">
        <f t="shared" si="83"/>
        <v/>
      </c>
      <c r="K231" s="23">
        <f t="shared" si="84"/>
        <v>0</v>
      </c>
      <c r="L231" s="23" t="str">
        <f t="shared" si="85"/>
        <v/>
      </c>
      <c r="M231" s="23" t="e">
        <f t="shared" si="86"/>
        <v>#VALUE!</v>
      </c>
      <c r="N231" s="23" t="str">
        <f t="shared" si="87"/>
        <v/>
      </c>
      <c r="O231" s="23" t="e">
        <f t="shared" si="88"/>
        <v>#VALUE!</v>
      </c>
      <c r="P231" s="23" t="e">
        <f t="shared" si="77"/>
        <v>#VALUE!</v>
      </c>
      <c r="Q231" s="23" t="e">
        <f t="shared" si="89"/>
        <v>#VALUE!</v>
      </c>
      <c r="R231" s="23">
        <f t="shared" si="94"/>
        <v>246852.79387978595</v>
      </c>
      <c r="S231" s="25">
        <f t="shared" si="95"/>
        <v>1872.6763673638941</v>
      </c>
    </row>
    <row r="232" spans="1:19" x14ac:dyDescent="0.25">
      <c r="A232"/>
      <c r="B232"/>
      <c r="C232" s="22" t="str">
        <f t="shared" si="80"/>
        <v/>
      </c>
      <c r="D232" s="23" t="str">
        <f t="shared" si="81"/>
        <v/>
      </c>
      <c r="E232" s="23" t="str">
        <f t="shared" si="90"/>
        <v/>
      </c>
      <c r="F232" s="23" t="str">
        <f t="shared" si="91"/>
        <v/>
      </c>
      <c r="G232" s="52">
        <f t="shared" si="76"/>
        <v>0</v>
      </c>
      <c r="H232" s="23">
        <f t="shared" si="82"/>
        <v>0</v>
      </c>
      <c r="I232" s="24"/>
      <c r="J232" s="23" t="str">
        <f t="shared" si="83"/>
        <v/>
      </c>
      <c r="K232" s="23">
        <f t="shared" si="84"/>
        <v>0</v>
      </c>
      <c r="L232" s="23" t="str">
        <f t="shared" si="85"/>
        <v/>
      </c>
      <c r="M232" s="23" t="e">
        <f t="shared" si="86"/>
        <v>#VALUE!</v>
      </c>
      <c r="N232" s="23" t="str">
        <f t="shared" si="87"/>
        <v/>
      </c>
      <c r="O232" s="23" t="e">
        <f t="shared" si="88"/>
        <v>#VALUE!</v>
      </c>
      <c r="P232" s="23" t="e">
        <f t="shared" si="77"/>
        <v>#VALUE!</v>
      </c>
      <c r="Q232" s="23" t="e">
        <f t="shared" si="89"/>
        <v>#VALUE!</v>
      </c>
      <c r="R232" s="23">
        <f t="shared" si="94"/>
        <v>246852.79387978595</v>
      </c>
      <c r="S232" s="25">
        <f t="shared" si="95"/>
        <v>1872.6763673638941</v>
      </c>
    </row>
    <row r="233" spans="1:19" x14ac:dyDescent="0.25">
      <c r="A233"/>
      <c r="B233"/>
      <c r="C233" s="22" t="str">
        <f t="shared" si="80"/>
        <v/>
      </c>
      <c r="D233" s="23" t="str">
        <f t="shared" si="81"/>
        <v/>
      </c>
      <c r="E233" s="23" t="str">
        <f t="shared" si="90"/>
        <v/>
      </c>
      <c r="F233" s="23" t="str">
        <f t="shared" si="91"/>
        <v/>
      </c>
      <c r="G233" s="52">
        <f t="shared" si="76"/>
        <v>0</v>
      </c>
      <c r="H233" s="23">
        <f t="shared" si="82"/>
        <v>0</v>
      </c>
      <c r="I233" s="24"/>
      <c r="J233" s="23" t="str">
        <f t="shared" si="83"/>
        <v/>
      </c>
      <c r="K233" s="23">
        <f t="shared" si="84"/>
        <v>0</v>
      </c>
      <c r="L233" s="23" t="str">
        <f t="shared" si="85"/>
        <v/>
      </c>
      <c r="M233" s="23" t="e">
        <f t="shared" si="86"/>
        <v>#VALUE!</v>
      </c>
      <c r="N233" s="23" t="str">
        <f t="shared" si="87"/>
        <v/>
      </c>
      <c r="O233" s="23" t="e">
        <f t="shared" si="88"/>
        <v>#VALUE!</v>
      </c>
      <c r="P233" s="23" t="e">
        <f t="shared" si="77"/>
        <v>#VALUE!</v>
      </c>
      <c r="Q233" s="23" t="e">
        <f t="shared" si="89"/>
        <v>#VALUE!</v>
      </c>
      <c r="R233" s="23">
        <f t="shared" si="94"/>
        <v>246852.79387978595</v>
      </c>
      <c r="S233" s="25">
        <f t="shared" si="95"/>
        <v>1872.6763673638941</v>
      </c>
    </row>
    <row r="234" spans="1:19" x14ac:dyDescent="0.25">
      <c r="A234"/>
      <c r="B234"/>
      <c r="C234" s="22" t="str">
        <f t="shared" si="80"/>
        <v/>
      </c>
      <c r="D234" s="23" t="str">
        <f t="shared" si="81"/>
        <v/>
      </c>
      <c r="E234" s="23" t="str">
        <f t="shared" si="90"/>
        <v/>
      </c>
      <c r="F234" s="23" t="str">
        <f t="shared" si="91"/>
        <v/>
      </c>
      <c r="G234" s="52">
        <f t="shared" si="76"/>
        <v>0</v>
      </c>
      <c r="H234" s="23">
        <f t="shared" si="82"/>
        <v>0</v>
      </c>
      <c r="I234" s="24"/>
      <c r="J234" s="23" t="str">
        <f t="shared" si="83"/>
        <v/>
      </c>
      <c r="K234" s="23">
        <f t="shared" si="84"/>
        <v>0</v>
      </c>
      <c r="L234" s="23" t="str">
        <f t="shared" si="85"/>
        <v/>
      </c>
      <c r="M234" s="23" t="e">
        <f t="shared" si="86"/>
        <v>#VALUE!</v>
      </c>
      <c r="N234" s="23" t="str">
        <f t="shared" si="87"/>
        <v/>
      </c>
      <c r="O234" s="23" t="e">
        <f t="shared" si="88"/>
        <v>#VALUE!</v>
      </c>
      <c r="P234" s="23" t="e">
        <f t="shared" si="77"/>
        <v>#VALUE!</v>
      </c>
      <c r="Q234" s="23" t="e">
        <f t="shared" si="89"/>
        <v>#VALUE!</v>
      </c>
      <c r="R234" s="23">
        <f t="shared" si="94"/>
        <v>246852.79387978595</v>
      </c>
      <c r="S234" s="25">
        <f t="shared" si="95"/>
        <v>1872.6763673638941</v>
      </c>
    </row>
    <row r="235" spans="1:19" x14ac:dyDescent="0.25">
      <c r="A235"/>
      <c r="B235"/>
      <c r="C235" s="22" t="str">
        <f t="shared" si="80"/>
        <v/>
      </c>
      <c r="D235" s="23" t="str">
        <f t="shared" si="81"/>
        <v/>
      </c>
      <c r="E235" s="23" t="str">
        <f t="shared" si="90"/>
        <v/>
      </c>
      <c r="F235" s="23" t="str">
        <f t="shared" si="91"/>
        <v/>
      </c>
      <c r="G235" s="52">
        <f t="shared" si="76"/>
        <v>0</v>
      </c>
      <c r="H235" s="23">
        <f t="shared" si="82"/>
        <v>0</v>
      </c>
      <c r="I235" s="24"/>
      <c r="J235" s="23" t="str">
        <f t="shared" si="83"/>
        <v/>
      </c>
      <c r="K235" s="23">
        <f t="shared" si="84"/>
        <v>0</v>
      </c>
      <c r="L235" s="23" t="str">
        <f t="shared" si="85"/>
        <v/>
      </c>
      <c r="M235" s="23" t="e">
        <f t="shared" si="86"/>
        <v>#VALUE!</v>
      </c>
      <c r="N235" s="23" t="str">
        <f t="shared" si="87"/>
        <v/>
      </c>
      <c r="O235" s="23" t="e">
        <f t="shared" si="88"/>
        <v>#VALUE!</v>
      </c>
      <c r="P235" s="23" t="e">
        <f t="shared" si="77"/>
        <v>#VALUE!</v>
      </c>
      <c r="Q235" s="23" t="e">
        <f t="shared" si="89"/>
        <v>#VALUE!</v>
      </c>
      <c r="R235" s="23">
        <f t="shared" si="94"/>
        <v>246852.79387978595</v>
      </c>
      <c r="S235" s="25">
        <f t="shared" si="95"/>
        <v>1872.6763673638941</v>
      </c>
    </row>
    <row r="236" spans="1:19" x14ac:dyDescent="0.25">
      <c r="A236"/>
      <c r="B236"/>
      <c r="C236" s="22" t="str">
        <f t="shared" si="80"/>
        <v/>
      </c>
      <c r="D236" s="23" t="str">
        <f t="shared" si="81"/>
        <v/>
      </c>
      <c r="E236" s="23" t="str">
        <f t="shared" si="90"/>
        <v/>
      </c>
      <c r="F236" s="23" t="str">
        <f t="shared" si="91"/>
        <v/>
      </c>
      <c r="G236" s="52">
        <f t="shared" si="76"/>
        <v>0</v>
      </c>
      <c r="H236" s="23">
        <f t="shared" si="82"/>
        <v>0</v>
      </c>
      <c r="I236" s="24"/>
      <c r="J236" s="23" t="str">
        <f t="shared" si="83"/>
        <v/>
      </c>
      <c r="K236" s="23">
        <f t="shared" si="84"/>
        <v>0</v>
      </c>
      <c r="L236" s="23" t="str">
        <f t="shared" si="85"/>
        <v/>
      </c>
      <c r="M236" s="23" t="e">
        <f t="shared" si="86"/>
        <v>#VALUE!</v>
      </c>
      <c r="N236" s="23" t="str">
        <f t="shared" si="87"/>
        <v/>
      </c>
      <c r="O236" s="23" t="e">
        <f t="shared" si="88"/>
        <v>#VALUE!</v>
      </c>
      <c r="P236" s="23" t="e">
        <f t="shared" si="77"/>
        <v>#VALUE!</v>
      </c>
      <c r="Q236" s="23" t="e">
        <f t="shared" si="89"/>
        <v>#VALUE!</v>
      </c>
      <c r="R236" s="23">
        <f t="shared" si="94"/>
        <v>246852.79387978595</v>
      </c>
      <c r="S236" s="25">
        <f t="shared" si="95"/>
        <v>1872.6763673638941</v>
      </c>
    </row>
    <row r="237" spans="1:19" x14ac:dyDescent="0.25">
      <c r="A237"/>
      <c r="B237"/>
      <c r="C237" s="22" t="str">
        <f t="shared" si="80"/>
        <v/>
      </c>
      <c r="D237" s="23" t="str">
        <f t="shared" si="81"/>
        <v/>
      </c>
      <c r="E237" s="23" t="str">
        <f t="shared" si="90"/>
        <v/>
      </c>
      <c r="F237" s="23" t="str">
        <f t="shared" si="91"/>
        <v/>
      </c>
      <c r="G237" s="52">
        <f t="shared" si="76"/>
        <v>0</v>
      </c>
      <c r="H237" s="23">
        <f t="shared" si="82"/>
        <v>0</v>
      </c>
      <c r="I237" s="24"/>
      <c r="J237" s="23" t="str">
        <f t="shared" si="83"/>
        <v/>
      </c>
      <c r="K237" s="23">
        <f t="shared" si="84"/>
        <v>0</v>
      </c>
      <c r="L237" s="23" t="str">
        <f t="shared" si="85"/>
        <v/>
      </c>
      <c r="M237" s="23" t="e">
        <f t="shared" si="86"/>
        <v>#VALUE!</v>
      </c>
      <c r="N237" s="23" t="str">
        <f t="shared" si="87"/>
        <v/>
      </c>
      <c r="O237" s="23" t="e">
        <f t="shared" si="88"/>
        <v>#VALUE!</v>
      </c>
      <c r="P237" s="23" t="e">
        <f t="shared" si="77"/>
        <v>#VALUE!</v>
      </c>
      <c r="Q237" s="23" t="e">
        <f t="shared" si="89"/>
        <v>#VALUE!</v>
      </c>
      <c r="R237" s="23">
        <f t="shared" si="94"/>
        <v>246852.79387978595</v>
      </c>
      <c r="S237" s="25">
        <f t="shared" si="95"/>
        <v>1872.6763673638941</v>
      </c>
    </row>
    <row r="238" spans="1:19" x14ac:dyDescent="0.25">
      <c r="A238"/>
      <c r="B238"/>
      <c r="C238" s="22" t="str">
        <f t="shared" si="80"/>
        <v/>
      </c>
      <c r="D238" s="23" t="str">
        <f t="shared" si="81"/>
        <v/>
      </c>
      <c r="E238" s="23" t="str">
        <f t="shared" si="90"/>
        <v/>
      </c>
      <c r="F238" s="23" t="str">
        <f t="shared" si="91"/>
        <v/>
      </c>
      <c r="G238" s="52">
        <f t="shared" si="76"/>
        <v>0</v>
      </c>
      <c r="H238" s="23">
        <f t="shared" si="82"/>
        <v>0</v>
      </c>
      <c r="I238" s="24"/>
      <c r="J238" s="23" t="str">
        <f t="shared" si="83"/>
        <v/>
      </c>
      <c r="K238" s="23">
        <f t="shared" si="84"/>
        <v>0</v>
      </c>
      <c r="L238" s="23" t="str">
        <f t="shared" si="85"/>
        <v/>
      </c>
      <c r="M238" s="23" t="e">
        <f t="shared" si="86"/>
        <v>#VALUE!</v>
      </c>
      <c r="N238" s="23" t="str">
        <f t="shared" si="87"/>
        <v/>
      </c>
      <c r="O238" s="23" t="e">
        <f t="shared" si="88"/>
        <v>#VALUE!</v>
      </c>
      <c r="P238" s="23" t="e">
        <f t="shared" si="77"/>
        <v>#VALUE!</v>
      </c>
      <c r="Q238" s="23" t="e">
        <f t="shared" si="89"/>
        <v>#VALUE!</v>
      </c>
      <c r="R238" s="23">
        <f t="shared" si="94"/>
        <v>246852.79387978595</v>
      </c>
      <c r="S238" s="25">
        <f t="shared" si="95"/>
        <v>1872.6763673638941</v>
      </c>
    </row>
    <row r="239" spans="1:19" x14ac:dyDescent="0.25">
      <c r="A239"/>
      <c r="B239"/>
      <c r="C239" s="22" t="str">
        <f t="shared" si="80"/>
        <v/>
      </c>
      <c r="D239" s="23" t="str">
        <f t="shared" si="81"/>
        <v/>
      </c>
      <c r="E239" s="23" t="str">
        <f t="shared" si="90"/>
        <v/>
      </c>
      <c r="F239" s="23" t="str">
        <f t="shared" si="91"/>
        <v/>
      </c>
      <c r="G239" s="52">
        <f t="shared" si="76"/>
        <v>0</v>
      </c>
      <c r="H239" s="23">
        <f t="shared" si="82"/>
        <v>0</v>
      </c>
      <c r="I239" s="24"/>
      <c r="J239" s="23" t="str">
        <f t="shared" si="83"/>
        <v/>
      </c>
      <c r="K239" s="23">
        <f t="shared" si="84"/>
        <v>0</v>
      </c>
      <c r="L239" s="23" t="str">
        <f t="shared" si="85"/>
        <v/>
      </c>
      <c r="M239" s="23" t="e">
        <f t="shared" si="86"/>
        <v>#VALUE!</v>
      </c>
      <c r="N239" s="23" t="str">
        <f t="shared" si="87"/>
        <v/>
      </c>
      <c r="O239" s="23" t="e">
        <f t="shared" si="88"/>
        <v>#VALUE!</v>
      </c>
      <c r="P239" s="23" t="e">
        <f t="shared" si="77"/>
        <v>#VALUE!</v>
      </c>
      <c r="Q239" s="23" t="e">
        <f t="shared" si="89"/>
        <v>#VALUE!</v>
      </c>
      <c r="R239" s="23">
        <f t="shared" si="94"/>
        <v>246852.79387978595</v>
      </c>
      <c r="S239" s="25">
        <f t="shared" si="95"/>
        <v>1872.6763673638941</v>
      </c>
    </row>
    <row r="240" spans="1:19" x14ac:dyDescent="0.25">
      <c r="A240"/>
      <c r="B240"/>
      <c r="C240" s="22" t="str">
        <f t="shared" si="80"/>
        <v/>
      </c>
      <c r="D240" s="23" t="str">
        <f t="shared" si="81"/>
        <v/>
      </c>
      <c r="E240" s="23" t="str">
        <f t="shared" si="90"/>
        <v/>
      </c>
      <c r="F240" s="23" t="str">
        <f t="shared" si="91"/>
        <v/>
      </c>
      <c r="G240" s="52">
        <f t="shared" si="76"/>
        <v>0</v>
      </c>
      <c r="H240" s="23">
        <f t="shared" si="82"/>
        <v>0</v>
      </c>
      <c r="I240" s="24"/>
      <c r="J240" s="23" t="str">
        <f t="shared" si="83"/>
        <v/>
      </c>
      <c r="K240" s="23">
        <f t="shared" si="84"/>
        <v>0</v>
      </c>
      <c r="L240" s="23" t="str">
        <f t="shared" si="85"/>
        <v/>
      </c>
      <c r="M240" s="23" t="e">
        <f t="shared" si="86"/>
        <v>#VALUE!</v>
      </c>
      <c r="N240" s="23" t="str">
        <f t="shared" si="87"/>
        <v/>
      </c>
      <c r="O240" s="23" t="e">
        <f t="shared" si="88"/>
        <v>#VALUE!</v>
      </c>
      <c r="P240" s="23" t="e">
        <f t="shared" si="77"/>
        <v>#VALUE!</v>
      </c>
      <c r="Q240" s="23" t="e">
        <f t="shared" si="89"/>
        <v>#VALUE!</v>
      </c>
      <c r="R240" s="23">
        <f t="shared" si="94"/>
        <v>246852.79387978595</v>
      </c>
      <c r="S240" s="25">
        <f t="shared" si="95"/>
        <v>1872.6763673638941</v>
      </c>
    </row>
    <row r="241" spans="1:19" x14ac:dyDescent="0.25">
      <c r="A241"/>
      <c r="B241"/>
      <c r="C241" s="22" t="str">
        <f t="shared" si="80"/>
        <v/>
      </c>
      <c r="D241" s="23" t="str">
        <f t="shared" si="81"/>
        <v/>
      </c>
      <c r="E241" s="23" t="str">
        <f t="shared" si="90"/>
        <v/>
      </c>
      <c r="F241" s="23" t="str">
        <f t="shared" si="91"/>
        <v/>
      </c>
      <c r="G241" s="52">
        <f t="shared" si="76"/>
        <v>0</v>
      </c>
      <c r="H241" s="23">
        <f t="shared" si="82"/>
        <v>0</v>
      </c>
      <c r="I241" s="24"/>
      <c r="J241" s="23" t="str">
        <f t="shared" si="83"/>
        <v/>
      </c>
      <c r="K241" s="23">
        <f t="shared" si="84"/>
        <v>0</v>
      </c>
      <c r="L241" s="23" t="str">
        <f t="shared" si="85"/>
        <v/>
      </c>
      <c r="M241" s="23" t="e">
        <f t="shared" si="86"/>
        <v>#VALUE!</v>
      </c>
      <c r="N241" s="23" t="str">
        <f t="shared" si="87"/>
        <v/>
      </c>
      <c r="O241" s="23" t="e">
        <f t="shared" si="88"/>
        <v>#VALUE!</v>
      </c>
      <c r="P241" s="23" t="e">
        <f t="shared" si="77"/>
        <v>#VALUE!</v>
      </c>
      <c r="Q241" s="23" t="e">
        <f t="shared" si="89"/>
        <v>#VALUE!</v>
      </c>
      <c r="R241" s="23">
        <f t="shared" ref="R241:R252" si="96">$R$240+ $R$240*$M$8</f>
        <v>254258.37769617952</v>
      </c>
      <c r="S241" s="25">
        <f t="shared" ref="S241:S252" si="97">$S$240 + ($S$240 * $T$5)</f>
        <v>1928.856658384811</v>
      </c>
    </row>
    <row r="242" spans="1:19" x14ac:dyDescent="0.25">
      <c r="A242"/>
      <c r="B242"/>
      <c r="C242" s="22" t="str">
        <f t="shared" si="80"/>
        <v/>
      </c>
      <c r="D242" s="23" t="str">
        <f t="shared" si="81"/>
        <v/>
      </c>
      <c r="E242" s="23" t="str">
        <f t="shared" si="90"/>
        <v/>
      </c>
      <c r="F242" s="23" t="str">
        <f t="shared" si="91"/>
        <v/>
      </c>
      <c r="G242" s="52">
        <f t="shared" si="76"/>
        <v>0</v>
      </c>
      <c r="H242" s="23">
        <f t="shared" si="82"/>
        <v>0</v>
      </c>
      <c r="I242" s="24"/>
      <c r="J242" s="23" t="str">
        <f t="shared" si="83"/>
        <v/>
      </c>
      <c r="K242" s="23">
        <f t="shared" si="84"/>
        <v>0</v>
      </c>
      <c r="L242" s="23" t="str">
        <f t="shared" si="85"/>
        <v/>
      </c>
      <c r="M242" s="23" t="e">
        <f t="shared" si="86"/>
        <v>#VALUE!</v>
      </c>
      <c r="N242" s="23" t="str">
        <f t="shared" si="87"/>
        <v/>
      </c>
      <c r="O242" s="23" t="e">
        <f t="shared" si="88"/>
        <v>#VALUE!</v>
      </c>
      <c r="P242" s="23" t="e">
        <f t="shared" si="77"/>
        <v>#VALUE!</v>
      </c>
      <c r="Q242" s="23" t="e">
        <f t="shared" si="89"/>
        <v>#VALUE!</v>
      </c>
      <c r="R242" s="23">
        <f t="shared" si="96"/>
        <v>254258.37769617952</v>
      </c>
      <c r="S242" s="25">
        <f t="shared" si="97"/>
        <v>1928.856658384811</v>
      </c>
    </row>
    <row r="243" spans="1:19" x14ac:dyDescent="0.25">
      <c r="A243"/>
      <c r="B243"/>
      <c r="C243" s="22" t="str">
        <f t="shared" si="80"/>
        <v/>
      </c>
      <c r="D243" s="23" t="str">
        <f t="shared" si="81"/>
        <v/>
      </c>
      <c r="E243" s="23" t="str">
        <f t="shared" si="90"/>
        <v/>
      </c>
      <c r="F243" s="23" t="str">
        <f t="shared" si="91"/>
        <v/>
      </c>
      <c r="G243" s="52">
        <f t="shared" si="76"/>
        <v>0</v>
      </c>
      <c r="H243" s="23">
        <f t="shared" si="82"/>
        <v>0</v>
      </c>
      <c r="I243" s="24"/>
      <c r="J243" s="23" t="str">
        <f t="shared" si="83"/>
        <v/>
      </c>
      <c r="K243" s="23">
        <f t="shared" si="84"/>
        <v>0</v>
      </c>
      <c r="L243" s="23" t="str">
        <f t="shared" si="85"/>
        <v/>
      </c>
      <c r="M243" s="23" t="e">
        <f t="shared" si="86"/>
        <v>#VALUE!</v>
      </c>
      <c r="N243" s="23" t="str">
        <f t="shared" si="87"/>
        <v/>
      </c>
      <c r="O243" s="23" t="e">
        <f t="shared" si="88"/>
        <v>#VALUE!</v>
      </c>
      <c r="P243" s="23" t="e">
        <f t="shared" si="77"/>
        <v>#VALUE!</v>
      </c>
      <c r="Q243" s="23" t="e">
        <f t="shared" si="89"/>
        <v>#VALUE!</v>
      </c>
      <c r="R243" s="23">
        <f t="shared" si="96"/>
        <v>254258.37769617952</v>
      </c>
      <c r="S243" s="25">
        <f t="shared" si="97"/>
        <v>1928.856658384811</v>
      </c>
    </row>
    <row r="244" spans="1:19" x14ac:dyDescent="0.25">
      <c r="A244"/>
      <c r="B244"/>
      <c r="C244" s="22" t="str">
        <f t="shared" si="80"/>
        <v/>
      </c>
      <c r="D244" s="23" t="str">
        <f t="shared" si="81"/>
        <v/>
      </c>
      <c r="E244" s="23" t="str">
        <f t="shared" si="90"/>
        <v/>
      </c>
      <c r="F244" s="23" t="str">
        <f t="shared" si="91"/>
        <v/>
      </c>
      <c r="G244" s="52">
        <f t="shared" si="76"/>
        <v>0</v>
      </c>
      <c r="H244" s="23">
        <f t="shared" si="82"/>
        <v>0</v>
      </c>
      <c r="I244" s="24"/>
      <c r="J244" s="23" t="str">
        <f t="shared" si="83"/>
        <v/>
      </c>
      <c r="K244" s="23">
        <f t="shared" si="84"/>
        <v>0</v>
      </c>
      <c r="L244" s="23" t="str">
        <f t="shared" si="85"/>
        <v/>
      </c>
      <c r="M244" s="23" t="e">
        <f t="shared" si="86"/>
        <v>#VALUE!</v>
      </c>
      <c r="N244" s="23" t="str">
        <f t="shared" si="87"/>
        <v/>
      </c>
      <c r="O244" s="23" t="e">
        <f t="shared" si="88"/>
        <v>#VALUE!</v>
      </c>
      <c r="P244" s="23" t="e">
        <f t="shared" si="77"/>
        <v>#VALUE!</v>
      </c>
      <c r="Q244" s="23" t="e">
        <f t="shared" si="89"/>
        <v>#VALUE!</v>
      </c>
      <c r="R244" s="23">
        <f t="shared" si="96"/>
        <v>254258.37769617952</v>
      </c>
      <c r="S244" s="25">
        <f t="shared" si="97"/>
        <v>1928.856658384811</v>
      </c>
    </row>
    <row r="245" spans="1:19" x14ac:dyDescent="0.25">
      <c r="A245"/>
      <c r="B245"/>
      <c r="C245" s="22" t="str">
        <f t="shared" si="80"/>
        <v/>
      </c>
      <c r="D245" s="23" t="str">
        <f t="shared" si="81"/>
        <v/>
      </c>
      <c r="E245" s="23" t="str">
        <f t="shared" si="90"/>
        <v/>
      </c>
      <c r="F245" s="23" t="str">
        <f t="shared" si="91"/>
        <v/>
      </c>
      <c r="G245" s="52">
        <f t="shared" si="76"/>
        <v>0</v>
      </c>
      <c r="H245" s="23">
        <f t="shared" si="82"/>
        <v>0</v>
      </c>
      <c r="I245" s="24"/>
      <c r="J245" s="23" t="str">
        <f t="shared" si="83"/>
        <v/>
      </c>
      <c r="K245" s="23">
        <f t="shared" si="84"/>
        <v>0</v>
      </c>
      <c r="L245" s="23" t="str">
        <f t="shared" si="85"/>
        <v/>
      </c>
      <c r="M245" s="23" t="e">
        <f t="shared" si="86"/>
        <v>#VALUE!</v>
      </c>
      <c r="N245" s="23" t="str">
        <f t="shared" si="87"/>
        <v/>
      </c>
      <c r="O245" s="23" t="e">
        <f t="shared" si="88"/>
        <v>#VALUE!</v>
      </c>
      <c r="P245" s="23" t="e">
        <f t="shared" si="77"/>
        <v>#VALUE!</v>
      </c>
      <c r="Q245" s="23" t="e">
        <f t="shared" si="89"/>
        <v>#VALUE!</v>
      </c>
      <c r="R245" s="23">
        <f t="shared" si="96"/>
        <v>254258.37769617952</v>
      </c>
      <c r="S245" s="25">
        <f t="shared" si="97"/>
        <v>1928.856658384811</v>
      </c>
    </row>
    <row r="246" spans="1:19" x14ac:dyDescent="0.25">
      <c r="A246"/>
      <c r="B246"/>
      <c r="C246" s="22" t="str">
        <f t="shared" si="80"/>
        <v/>
      </c>
      <c r="D246" s="23" t="str">
        <f t="shared" si="81"/>
        <v/>
      </c>
      <c r="E246" s="23" t="str">
        <f t="shared" si="90"/>
        <v/>
      </c>
      <c r="F246" s="23" t="str">
        <f t="shared" si="91"/>
        <v/>
      </c>
      <c r="G246" s="52">
        <f t="shared" si="76"/>
        <v>0</v>
      </c>
      <c r="H246" s="23">
        <f t="shared" si="82"/>
        <v>0</v>
      </c>
      <c r="I246" s="24"/>
      <c r="J246" s="23" t="str">
        <f t="shared" si="83"/>
        <v/>
      </c>
      <c r="K246" s="23">
        <f t="shared" si="84"/>
        <v>0</v>
      </c>
      <c r="L246" s="23" t="str">
        <f t="shared" si="85"/>
        <v/>
      </c>
      <c r="M246" s="23" t="e">
        <f t="shared" si="86"/>
        <v>#VALUE!</v>
      </c>
      <c r="N246" s="23" t="str">
        <f t="shared" si="87"/>
        <v/>
      </c>
      <c r="O246" s="23" t="e">
        <f t="shared" si="88"/>
        <v>#VALUE!</v>
      </c>
      <c r="P246" s="23" t="e">
        <f t="shared" si="77"/>
        <v>#VALUE!</v>
      </c>
      <c r="Q246" s="23" t="e">
        <f t="shared" si="89"/>
        <v>#VALUE!</v>
      </c>
      <c r="R246" s="23">
        <f t="shared" si="96"/>
        <v>254258.37769617952</v>
      </c>
      <c r="S246" s="25">
        <f t="shared" si="97"/>
        <v>1928.856658384811</v>
      </c>
    </row>
    <row r="247" spans="1:19" x14ac:dyDescent="0.25">
      <c r="A247"/>
      <c r="B247"/>
      <c r="C247" s="22" t="str">
        <f t="shared" si="80"/>
        <v/>
      </c>
      <c r="D247" s="23" t="str">
        <f t="shared" si="81"/>
        <v/>
      </c>
      <c r="E247" s="23" t="str">
        <f t="shared" si="90"/>
        <v/>
      </c>
      <c r="F247" s="23" t="str">
        <f t="shared" si="91"/>
        <v/>
      </c>
      <c r="G247" s="52">
        <f t="shared" si="76"/>
        <v>0</v>
      </c>
      <c r="H247" s="23">
        <f t="shared" si="82"/>
        <v>0</v>
      </c>
      <c r="I247" s="24"/>
      <c r="J247" s="23" t="str">
        <f t="shared" si="83"/>
        <v/>
      </c>
      <c r="K247" s="23">
        <f t="shared" si="84"/>
        <v>0</v>
      </c>
      <c r="L247" s="23" t="str">
        <f t="shared" si="85"/>
        <v/>
      </c>
      <c r="M247" s="23" t="e">
        <f t="shared" si="86"/>
        <v>#VALUE!</v>
      </c>
      <c r="N247" s="23" t="str">
        <f t="shared" si="87"/>
        <v/>
      </c>
      <c r="O247" s="23" t="e">
        <f t="shared" si="88"/>
        <v>#VALUE!</v>
      </c>
      <c r="P247" s="23" t="e">
        <f t="shared" si="77"/>
        <v>#VALUE!</v>
      </c>
      <c r="Q247" s="23" t="e">
        <f t="shared" si="89"/>
        <v>#VALUE!</v>
      </c>
      <c r="R247" s="23">
        <f t="shared" si="96"/>
        <v>254258.37769617952</v>
      </c>
      <c r="S247" s="25">
        <f t="shared" si="97"/>
        <v>1928.856658384811</v>
      </c>
    </row>
    <row r="248" spans="1:19" x14ac:dyDescent="0.25">
      <c r="A248"/>
      <c r="B248"/>
      <c r="C248" s="22" t="str">
        <f t="shared" si="80"/>
        <v/>
      </c>
      <c r="D248" s="23" t="str">
        <f t="shared" si="81"/>
        <v/>
      </c>
      <c r="E248" s="23" t="str">
        <f t="shared" si="90"/>
        <v/>
      </c>
      <c r="F248" s="23" t="str">
        <f t="shared" si="91"/>
        <v/>
      </c>
      <c r="G248" s="52">
        <f t="shared" si="76"/>
        <v>0</v>
      </c>
      <c r="H248" s="23">
        <f t="shared" si="82"/>
        <v>0</v>
      </c>
      <c r="I248" s="24"/>
      <c r="J248" s="23" t="str">
        <f t="shared" si="83"/>
        <v/>
      </c>
      <c r="K248" s="23">
        <f t="shared" si="84"/>
        <v>0</v>
      </c>
      <c r="L248" s="23" t="str">
        <f t="shared" si="85"/>
        <v/>
      </c>
      <c r="M248" s="23" t="e">
        <f t="shared" si="86"/>
        <v>#VALUE!</v>
      </c>
      <c r="N248" s="23" t="str">
        <f t="shared" si="87"/>
        <v/>
      </c>
      <c r="O248" s="23" t="e">
        <f t="shared" si="88"/>
        <v>#VALUE!</v>
      </c>
      <c r="P248" s="23" t="e">
        <f t="shared" si="77"/>
        <v>#VALUE!</v>
      </c>
      <c r="Q248" s="23" t="e">
        <f t="shared" si="89"/>
        <v>#VALUE!</v>
      </c>
      <c r="R248" s="23">
        <f t="shared" si="96"/>
        <v>254258.37769617952</v>
      </c>
      <c r="S248" s="25">
        <f t="shared" si="97"/>
        <v>1928.856658384811</v>
      </c>
    </row>
    <row r="249" spans="1:19" x14ac:dyDescent="0.25">
      <c r="A249"/>
      <c r="B249"/>
      <c r="C249" s="22" t="str">
        <f t="shared" si="80"/>
        <v/>
      </c>
      <c r="D249" s="23" t="str">
        <f t="shared" si="81"/>
        <v/>
      </c>
      <c r="E249" s="23" t="str">
        <f t="shared" si="90"/>
        <v/>
      </c>
      <c r="F249" s="23" t="str">
        <f t="shared" si="91"/>
        <v/>
      </c>
      <c r="G249" s="52">
        <f t="shared" si="76"/>
        <v>0</v>
      </c>
      <c r="H249" s="23">
        <f t="shared" si="82"/>
        <v>0</v>
      </c>
      <c r="I249" s="24"/>
      <c r="J249" s="23" t="str">
        <f t="shared" si="83"/>
        <v/>
      </c>
      <c r="K249" s="23">
        <f t="shared" si="84"/>
        <v>0</v>
      </c>
      <c r="L249" s="23" t="str">
        <f t="shared" si="85"/>
        <v/>
      </c>
      <c r="M249" s="23" t="e">
        <f t="shared" si="86"/>
        <v>#VALUE!</v>
      </c>
      <c r="N249" s="23" t="str">
        <f t="shared" si="87"/>
        <v/>
      </c>
      <c r="O249" s="23" t="e">
        <f t="shared" si="88"/>
        <v>#VALUE!</v>
      </c>
      <c r="P249" s="23" t="e">
        <f t="shared" si="77"/>
        <v>#VALUE!</v>
      </c>
      <c r="Q249" s="23" t="e">
        <f t="shared" si="89"/>
        <v>#VALUE!</v>
      </c>
      <c r="R249" s="23">
        <f t="shared" si="96"/>
        <v>254258.37769617952</v>
      </c>
      <c r="S249" s="25">
        <f t="shared" si="97"/>
        <v>1928.856658384811</v>
      </c>
    </row>
    <row r="250" spans="1:19" x14ac:dyDescent="0.25">
      <c r="A250"/>
      <c r="B250"/>
      <c r="C250" s="22" t="str">
        <f t="shared" si="80"/>
        <v/>
      </c>
      <c r="D250" s="23" t="str">
        <f t="shared" si="81"/>
        <v/>
      </c>
      <c r="E250" s="23" t="str">
        <f t="shared" si="90"/>
        <v/>
      </c>
      <c r="F250" s="23" t="str">
        <f t="shared" si="91"/>
        <v/>
      </c>
      <c r="G250" s="52">
        <f t="shared" si="76"/>
        <v>0</v>
      </c>
      <c r="H250" s="23">
        <f t="shared" si="82"/>
        <v>0</v>
      </c>
      <c r="I250" s="24"/>
      <c r="J250" s="23" t="str">
        <f t="shared" si="83"/>
        <v/>
      </c>
      <c r="K250" s="23">
        <f t="shared" si="84"/>
        <v>0</v>
      </c>
      <c r="L250" s="23" t="str">
        <f t="shared" si="85"/>
        <v/>
      </c>
      <c r="M250" s="23" t="e">
        <f t="shared" si="86"/>
        <v>#VALUE!</v>
      </c>
      <c r="N250" s="23" t="str">
        <f t="shared" si="87"/>
        <v/>
      </c>
      <c r="O250" s="23" t="e">
        <f t="shared" si="88"/>
        <v>#VALUE!</v>
      </c>
      <c r="P250" s="23" t="e">
        <f t="shared" si="77"/>
        <v>#VALUE!</v>
      </c>
      <c r="Q250" s="23" t="e">
        <f t="shared" si="89"/>
        <v>#VALUE!</v>
      </c>
      <c r="R250" s="23">
        <f t="shared" si="96"/>
        <v>254258.37769617952</v>
      </c>
      <c r="S250" s="25">
        <f t="shared" si="97"/>
        <v>1928.856658384811</v>
      </c>
    </row>
    <row r="251" spans="1:19" x14ac:dyDescent="0.25">
      <c r="A251"/>
      <c r="B251"/>
      <c r="C251" s="22" t="str">
        <f t="shared" si="80"/>
        <v/>
      </c>
      <c r="D251" s="23" t="str">
        <f t="shared" si="81"/>
        <v/>
      </c>
      <c r="E251" s="23" t="str">
        <f t="shared" si="90"/>
        <v/>
      </c>
      <c r="F251" s="23" t="str">
        <f t="shared" si="91"/>
        <v/>
      </c>
      <c r="G251" s="52">
        <f t="shared" si="76"/>
        <v>0</v>
      </c>
      <c r="H251" s="23">
        <f t="shared" si="82"/>
        <v>0</v>
      </c>
      <c r="I251" s="24"/>
      <c r="J251" s="23" t="str">
        <f t="shared" si="83"/>
        <v/>
      </c>
      <c r="K251" s="23">
        <f t="shared" si="84"/>
        <v>0</v>
      </c>
      <c r="L251" s="23" t="str">
        <f t="shared" si="85"/>
        <v/>
      </c>
      <c r="M251" s="23" t="e">
        <f t="shared" si="86"/>
        <v>#VALUE!</v>
      </c>
      <c r="N251" s="23" t="str">
        <f t="shared" si="87"/>
        <v/>
      </c>
      <c r="O251" s="23" t="e">
        <f t="shared" si="88"/>
        <v>#VALUE!</v>
      </c>
      <c r="P251" s="23" t="e">
        <f t="shared" si="77"/>
        <v>#VALUE!</v>
      </c>
      <c r="Q251" s="23" t="e">
        <f t="shared" si="89"/>
        <v>#VALUE!</v>
      </c>
      <c r="R251" s="23">
        <f t="shared" si="96"/>
        <v>254258.37769617952</v>
      </c>
      <c r="S251" s="25">
        <f t="shared" si="97"/>
        <v>1928.856658384811</v>
      </c>
    </row>
    <row r="252" spans="1:19" x14ac:dyDescent="0.25">
      <c r="A252"/>
      <c r="B252"/>
      <c r="C252" s="22" t="str">
        <f t="shared" si="80"/>
        <v/>
      </c>
      <c r="D252" s="23" t="str">
        <f t="shared" si="81"/>
        <v/>
      </c>
      <c r="E252" s="23" t="str">
        <f t="shared" si="90"/>
        <v/>
      </c>
      <c r="F252" s="23" t="str">
        <f t="shared" si="91"/>
        <v/>
      </c>
      <c r="G252" s="52">
        <f t="shared" si="76"/>
        <v>0</v>
      </c>
      <c r="H252" s="23">
        <f t="shared" si="82"/>
        <v>0</v>
      </c>
      <c r="I252" s="24"/>
      <c r="J252" s="23" t="str">
        <f t="shared" si="83"/>
        <v/>
      </c>
      <c r="K252" s="23">
        <f t="shared" si="84"/>
        <v>0</v>
      </c>
      <c r="L252" s="23" t="str">
        <f t="shared" si="85"/>
        <v/>
      </c>
      <c r="M252" s="23" t="e">
        <f t="shared" si="86"/>
        <v>#VALUE!</v>
      </c>
      <c r="N252" s="23" t="str">
        <f t="shared" si="87"/>
        <v/>
      </c>
      <c r="O252" s="23" t="e">
        <f t="shared" si="88"/>
        <v>#VALUE!</v>
      </c>
      <c r="P252" s="23" t="e">
        <f t="shared" si="77"/>
        <v>#VALUE!</v>
      </c>
      <c r="Q252" s="23" t="e">
        <f t="shared" si="89"/>
        <v>#VALUE!</v>
      </c>
      <c r="R252" s="23">
        <f t="shared" si="96"/>
        <v>254258.37769617952</v>
      </c>
      <c r="S252" s="25">
        <f t="shared" si="97"/>
        <v>1928.856658384811</v>
      </c>
    </row>
    <row r="253" spans="1:19" x14ac:dyDescent="0.25">
      <c r="A253"/>
      <c r="B253"/>
      <c r="C253" s="22" t="str">
        <f t="shared" si="80"/>
        <v/>
      </c>
      <c r="D253" s="23" t="str">
        <f t="shared" si="81"/>
        <v/>
      </c>
      <c r="E253" s="23" t="str">
        <f t="shared" si="90"/>
        <v/>
      </c>
      <c r="F253" s="23" t="str">
        <f t="shared" si="91"/>
        <v/>
      </c>
      <c r="G253" s="52">
        <f t="shared" si="76"/>
        <v>0</v>
      </c>
      <c r="H253" s="23">
        <f t="shared" si="82"/>
        <v>0</v>
      </c>
      <c r="I253" s="24"/>
      <c r="J253" s="23" t="str">
        <f t="shared" si="83"/>
        <v/>
      </c>
      <c r="K253" s="23">
        <f t="shared" si="84"/>
        <v>0</v>
      </c>
      <c r="L253" s="23" t="str">
        <f t="shared" si="85"/>
        <v/>
      </c>
      <c r="M253" s="23" t="e">
        <f t="shared" si="86"/>
        <v>#VALUE!</v>
      </c>
      <c r="N253" s="23" t="str">
        <f t="shared" si="87"/>
        <v/>
      </c>
      <c r="O253" s="23" t="e">
        <f t="shared" si="88"/>
        <v>#VALUE!</v>
      </c>
      <c r="P253" s="23" t="e">
        <f t="shared" si="77"/>
        <v>#VALUE!</v>
      </c>
      <c r="Q253" s="23" t="e">
        <f t="shared" si="89"/>
        <v>#VALUE!</v>
      </c>
      <c r="R253" s="23">
        <f t="shared" ref="R253:R264" si="98">$R$252+ $R$252*$M$8</f>
        <v>261886.12902706492</v>
      </c>
      <c r="S253" s="25">
        <f t="shared" ref="S253:S264" si="99">$S$252 + ($S$252 * $T$5)</f>
        <v>1986.7223581363553</v>
      </c>
    </row>
    <row r="254" spans="1:19" x14ac:dyDescent="0.25">
      <c r="A254"/>
      <c r="B254"/>
      <c r="C254" s="22" t="str">
        <f t="shared" si="80"/>
        <v/>
      </c>
      <c r="D254" s="23" t="str">
        <f t="shared" si="81"/>
        <v/>
      </c>
      <c r="E254" s="23" t="str">
        <f t="shared" si="90"/>
        <v/>
      </c>
      <c r="F254" s="23" t="str">
        <f t="shared" si="91"/>
        <v/>
      </c>
      <c r="G254" s="52">
        <f t="shared" si="76"/>
        <v>0</v>
      </c>
      <c r="H254" s="23">
        <f t="shared" si="82"/>
        <v>0</v>
      </c>
      <c r="I254" s="24"/>
      <c r="J254" s="23" t="str">
        <f t="shared" si="83"/>
        <v/>
      </c>
      <c r="K254" s="23">
        <f t="shared" si="84"/>
        <v>0</v>
      </c>
      <c r="L254" s="23" t="str">
        <f t="shared" si="85"/>
        <v/>
      </c>
      <c r="M254" s="23" t="e">
        <f t="shared" si="86"/>
        <v>#VALUE!</v>
      </c>
      <c r="N254" s="23" t="str">
        <f t="shared" si="87"/>
        <v/>
      </c>
      <c r="O254" s="23" t="e">
        <f t="shared" si="88"/>
        <v>#VALUE!</v>
      </c>
      <c r="P254" s="23" t="e">
        <f t="shared" si="77"/>
        <v>#VALUE!</v>
      </c>
      <c r="Q254" s="23" t="e">
        <f t="shared" si="89"/>
        <v>#VALUE!</v>
      </c>
      <c r="R254" s="23">
        <f t="shared" si="98"/>
        <v>261886.12902706492</v>
      </c>
      <c r="S254" s="25">
        <f t="shared" si="99"/>
        <v>1986.7223581363553</v>
      </c>
    </row>
    <row r="255" spans="1:19" x14ac:dyDescent="0.25">
      <c r="A255"/>
      <c r="B255"/>
      <c r="C255" s="22" t="str">
        <f t="shared" si="80"/>
        <v/>
      </c>
      <c r="D255" s="23" t="str">
        <f t="shared" si="81"/>
        <v/>
      </c>
      <c r="E255" s="23" t="str">
        <f t="shared" si="90"/>
        <v/>
      </c>
      <c r="F255" s="23" t="str">
        <f t="shared" si="91"/>
        <v/>
      </c>
      <c r="G255" s="52">
        <f t="shared" si="76"/>
        <v>0</v>
      </c>
      <c r="H255" s="23">
        <f t="shared" si="82"/>
        <v>0</v>
      </c>
      <c r="I255" s="24"/>
      <c r="J255" s="23" t="str">
        <f t="shared" si="83"/>
        <v/>
      </c>
      <c r="K255" s="23">
        <f t="shared" si="84"/>
        <v>0</v>
      </c>
      <c r="L255" s="23" t="str">
        <f t="shared" si="85"/>
        <v/>
      </c>
      <c r="M255" s="23" t="e">
        <f t="shared" si="86"/>
        <v>#VALUE!</v>
      </c>
      <c r="N255" s="23" t="str">
        <f t="shared" si="87"/>
        <v/>
      </c>
      <c r="O255" s="23" t="e">
        <f t="shared" si="88"/>
        <v>#VALUE!</v>
      </c>
      <c r="P255" s="23" t="e">
        <f t="shared" si="77"/>
        <v>#VALUE!</v>
      </c>
      <c r="Q255" s="23" t="e">
        <f t="shared" si="89"/>
        <v>#VALUE!</v>
      </c>
      <c r="R255" s="23">
        <f t="shared" si="98"/>
        <v>261886.12902706492</v>
      </c>
      <c r="S255" s="25">
        <f t="shared" si="99"/>
        <v>1986.7223581363553</v>
      </c>
    </row>
    <row r="256" spans="1:19" x14ac:dyDescent="0.25">
      <c r="A256"/>
      <c r="B256"/>
      <c r="C256" s="22" t="str">
        <f t="shared" si="80"/>
        <v/>
      </c>
      <c r="D256" s="23" t="str">
        <f t="shared" si="81"/>
        <v/>
      </c>
      <c r="E256" s="23" t="str">
        <f t="shared" si="90"/>
        <v/>
      </c>
      <c r="F256" s="23" t="str">
        <f t="shared" si="91"/>
        <v/>
      </c>
      <c r="G256" s="52">
        <f t="shared" si="76"/>
        <v>0</v>
      </c>
      <c r="H256" s="23">
        <f t="shared" si="82"/>
        <v>0</v>
      </c>
      <c r="I256" s="24"/>
      <c r="J256" s="23" t="str">
        <f t="shared" si="83"/>
        <v/>
      </c>
      <c r="K256" s="23">
        <f t="shared" si="84"/>
        <v>0</v>
      </c>
      <c r="L256" s="23" t="str">
        <f t="shared" si="85"/>
        <v/>
      </c>
      <c r="M256" s="23" t="e">
        <f t="shared" si="86"/>
        <v>#VALUE!</v>
      </c>
      <c r="N256" s="23" t="str">
        <f t="shared" si="87"/>
        <v/>
      </c>
      <c r="O256" s="23" t="e">
        <f t="shared" si="88"/>
        <v>#VALUE!</v>
      </c>
      <c r="P256" s="23" t="e">
        <f t="shared" si="77"/>
        <v>#VALUE!</v>
      </c>
      <c r="Q256" s="23" t="e">
        <f t="shared" si="89"/>
        <v>#VALUE!</v>
      </c>
      <c r="R256" s="23">
        <f t="shared" si="98"/>
        <v>261886.12902706492</v>
      </c>
      <c r="S256" s="25">
        <f t="shared" si="99"/>
        <v>1986.7223581363553</v>
      </c>
    </row>
    <row r="257" spans="1:19" x14ac:dyDescent="0.25">
      <c r="A257"/>
      <c r="B257"/>
      <c r="C257" s="22" t="str">
        <f t="shared" si="80"/>
        <v/>
      </c>
      <c r="D257" s="23" t="str">
        <f t="shared" si="81"/>
        <v/>
      </c>
      <c r="E257" s="23" t="str">
        <f t="shared" si="90"/>
        <v/>
      </c>
      <c r="F257" s="23" t="str">
        <f t="shared" si="91"/>
        <v/>
      </c>
      <c r="G257" s="52">
        <f t="shared" si="76"/>
        <v>0</v>
      </c>
      <c r="H257" s="23">
        <f t="shared" si="82"/>
        <v>0</v>
      </c>
      <c r="I257" s="24"/>
      <c r="J257" s="23" t="str">
        <f t="shared" si="83"/>
        <v/>
      </c>
      <c r="K257" s="23">
        <f t="shared" si="84"/>
        <v>0</v>
      </c>
      <c r="L257" s="23" t="str">
        <f t="shared" si="85"/>
        <v/>
      </c>
      <c r="M257" s="23" t="e">
        <f t="shared" si="86"/>
        <v>#VALUE!</v>
      </c>
      <c r="N257" s="23" t="str">
        <f t="shared" si="87"/>
        <v/>
      </c>
      <c r="O257" s="23" t="e">
        <f t="shared" si="88"/>
        <v>#VALUE!</v>
      </c>
      <c r="P257" s="23" t="e">
        <f t="shared" si="77"/>
        <v>#VALUE!</v>
      </c>
      <c r="Q257" s="23" t="e">
        <f t="shared" si="89"/>
        <v>#VALUE!</v>
      </c>
      <c r="R257" s="23">
        <f t="shared" si="98"/>
        <v>261886.12902706492</v>
      </c>
      <c r="S257" s="25">
        <f t="shared" si="99"/>
        <v>1986.7223581363553</v>
      </c>
    </row>
    <row r="258" spans="1:19" x14ac:dyDescent="0.25">
      <c r="A258"/>
      <c r="B258"/>
      <c r="C258" s="22" t="str">
        <f t="shared" si="80"/>
        <v/>
      </c>
      <c r="D258" s="23" t="str">
        <f t="shared" si="81"/>
        <v/>
      </c>
      <c r="E258" s="23" t="str">
        <f t="shared" si="90"/>
        <v/>
      </c>
      <c r="F258" s="23" t="str">
        <f t="shared" si="91"/>
        <v/>
      </c>
      <c r="G258" s="52">
        <f t="shared" si="76"/>
        <v>0</v>
      </c>
      <c r="H258" s="23">
        <f t="shared" si="82"/>
        <v>0</v>
      </c>
      <c r="I258" s="24"/>
      <c r="J258" s="23" t="str">
        <f t="shared" si="83"/>
        <v/>
      </c>
      <c r="K258" s="23">
        <f t="shared" si="84"/>
        <v>0</v>
      </c>
      <c r="L258" s="23" t="str">
        <f t="shared" si="85"/>
        <v/>
      </c>
      <c r="M258" s="23" t="e">
        <f t="shared" si="86"/>
        <v>#VALUE!</v>
      </c>
      <c r="N258" s="23" t="str">
        <f t="shared" si="87"/>
        <v/>
      </c>
      <c r="O258" s="23" t="e">
        <f t="shared" si="88"/>
        <v>#VALUE!</v>
      </c>
      <c r="P258" s="23" t="e">
        <f t="shared" si="77"/>
        <v>#VALUE!</v>
      </c>
      <c r="Q258" s="23" t="e">
        <f t="shared" si="89"/>
        <v>#VALUE!</v>
      </c>
      <c r="R258" s="23">
        <f t="shared" si="98"/>
        <v>261886.12902706492</v>
      </c>
      <c r="S258" s="25">
        <f t="shared" si="99"/>
        <v>1986.7223581363553</v>
      </c>
    </row>
    <row r="259" spans="1:19" x14ac:dyDescent="0.25">
      <c r="A259"/>
      <c r="B259"/>
      <c r="C259" s="22" t="str">
        <f t="shared" si="80"/>
        <v/>
      </c>
      <c r="D259" s="23" t="str">
        <f t="shared" si="81"/>
        <v/>
      </c>
      <c r="E259" s="23" t="str">
        <f t="shared" si="90"/>
        <v/>
      </c>
      <c r="F259" s="23" t="str">
        <f t="shared" si="91"/>
        <v/>
      </c>
      <c r="G259" s="52">
        <f t="shared" si="76"/>
        <v>0</v>
      </c>
      <c r="H259" s="23">
        <f t="shared" si="82"/>
        <v>0</v>
      </c>
      <c r="I259" s="24"/>
      <c r="J259" s="23" t="str">
        <f t="shared" si="83"/>
        <v/>
      </c>
      <c r="K259" s="23">
        <f t="shared" si="84"/>
        <v>0</v>
      </c>
      <c r="L259" s="23" t="str">
        <f t="shared" si="85"/>
        <v/>
      </c>
      <c r="M259" s="23" t="e">
        <f t="shared" si="86"/>
        <v>#VALUE!</v>
      </c>
      <c r="N259" s="23" t="str">
        <f t="shared" si="87"/>
        <v/>
      </c>
      <c r="O259" s="23" t="e">
        <f t="shared" si="88"/>
        <v>#VALUE!</v>
      </c>
      <c r="P259" s="23" t="e">
        <f t="shared" si="77"/>
        <v>#VALUE!</v>
      </c>
      <c r="Q259" s="23" t="e">
        <f t="shared" si="89"/>
        <v>#VALUE!</v>
      </c>
      <c r="R259" s="23">
        <f t="shared" si="98"/>
        <v>261886.12902706492</v>
      </c>
      <c r="S259" s="25">
        <f t="shared" si="99"/>
        <v>1986.7223581363553</v>
      </c>
    </row>
    <row r="260" spans="1:19" x14ac:dyDescent="0.25">
      <c r="A260"/>
      <c r="B260"/>
      <c r="C260" s="22" t="str">
        <f t="shared" si="80"/>
        <v/>
      </c>
      <c r="D260" s="23" t="str">
        <f t="shared" si="81"/>
        <v/>
      </c>
      <c r="E260" s="23" t="str">
        <f t="shared" si="90"/>
        <v/>
      </c>
      <c r="F260" s="23" t="str">
        <f t="shared" si="91"/>
        <v/>
      </c>
      <c r="G260" s="52">
        <f t="shared" si="76"/>
        <v>0</v>
      </c>
      <c r="H260" s="23">
        <f t="shared" si="82"/>
        <v>0</v>
      </c>
      <c r="I260" s="24"/>
      <c r="J260" s="23" t="str">
        <f t="shared" si="83"/>
        <v/>
      </c>
      <c r="K260" s="23">
        <f t="shared" si="84"/>
        <v>0</v>
      </c>
      <c r="L260" s="23" t="str">
        <f t="shared" si="85"/>
        <v/>
      </c>
      <c r="M260" s="23" t="e">
        <f t="shared" si="86"/>
        <v>#VALUE!</v>
      </c>
      <c r="N260" s="23" t="str">
        <f t="shared" si="87"/>
        <v/>
      </c>
      <c r="O260" s="23" t="e">
        <f t="shared" si="88"/>
        <v>#VALUE!</v>
      </c>
      <c r="P260" s="23" t="e">
        <f t="shared" si="77"/>
        <v>#VALUE!</v>
      </c>
      <c r="Q260" s="23" t="e">
        <f t="shared" si="89"/>
        <v>#VALUE!</v>
      </c>
      <c r="R260" s="23">
        <f t="shared" si="98"/>
        <v>261886.12902706492</v>
      </c>
      <c r="S260" s="25">
        <f t="shared" si="99"/>
        <v>1986.7223581363553</v>
      </c>
    </row>
    <row r="261" spans="1:19" x14ac:dyDescent="0.25">
      <c r="A261"/>
      <c r="B261"/>
      <c r="C261" s="22" t="str">
        <f t="shared" si="80"/>
        <v/>
      </c>
      <c r="D261" s="23" t="str">
        <f t="shared" si="81"/>
        <v/>
      </c>
      <c r="E261" s="23" t="str">
        <f t="shared" si="90"/>
        <v/>
      </c>
      <c r="F261" s="23" t="str">
        <f t="shared" si="91"/>
        <v/>
      </c>
      <c r="G261" s="52">
        <f t="shared" si="76"/>
        <v>0</v>
      </c>
      <c r="H261" s="23">
        <f t="shared" si="82"/>
        <v>0</v>
      </c>
      <c r="I261" s="24"/>
      <c r="J261" s="23" t="str">
        <f t="shared" si="83"/>
        <v/>
      </c>
      <c r="K261" s="23">
        <f t="shared" si="84"/>
        <v>0</v>
      </c>
      <c r="L261" s="23" t="str">
        <f t="shared" si="85"/>
        <v/>
      </c>
      <c r="M261" s="23" t="e">
        <f t="shared" si="86"/>
        <v>#VALUE!</v>
      </c>
      <c r="N261" s="23" t="str">
        <f t="shared" si="87"/>
        <v/>
      </c>
      <c r="O261" s="23" t="e">
        <f t="shared" si="88"/>
        <v>#VALUE!</v>
      </c>
      <c r="P261" s="23" t="e">
        <f t="shared" si="77"/>
        <v>#VALUE!</v>
      </c>
      <c r="Q261" s="23" t="e">
        <f t="shared" si="89"/>
        <v>#VALUE!</v>
      </c>
      <c r="R261" s="23">
        <f t="shared" si="98"/>
        <v>261886.12902706492</v>
      </c>
      <c r="S261" s="25">
        <f t="shared" si="99"/>
        <v>1986.7223581363553</v>
      </c>
    </row>
    <row r="262" spans="1:19" x14ac:dyDescent="0.25">
      <c r="A262"/>
      <c r="B262"/>
      <c r="C262" s="22" t="str">
        <f t="shared" si="80"/>
        <v/>
      </c>
      <c r="D262" s="23" t="str">
        <f t="shared" si="81"/>
        <v/>
      </c>
      <c r="E262" s="23" t="str">
        <f t="shared" si="90"/>
        <v/>
      </c>
      <c r="F262" s="23" t="str">
        <f t="shared" si="91"/>
        <v/>
      </c>
      <c r="G262" s="52">
        <f t="shared" si="76"/>
        <v>0</v>
      </c>
      <c r="H262" s="23">
        <f t="shared" si="82"/>
        <v>0</v>
      </c>
      <c r="I262" s="24"/>
      <c r="J262" s="23" t="str">
        <f t="shared" si="83"/>
        <v/>
      </c>
      <c r="K262" s="23">
        <f t="shared" si="84"/>
        <v>0</v>
      </c>
      <c r="L262" s="23" t="str">
        <f t="shared" si="85"/>
        <v/>
      </c>
      <c r="M262" s="23" t="e">
        <f t="shared" si="86"/>
        <v>#VALUE!</v>
      </c>
      <c r="N262" s="23" t="str">
        <f t="shared" si="87"/>
        <v/>
      </c>
      <c r="O262" s="23" t="e">
        <f t="shared" si="88"/>
        <v>#VALUE!</v>
      </c>
      <c r="P262" s="23" t="e">
        <f t="shared" si="77"/>
        <v>#VALUE!</v>
      </c>
      <c r="Q262" s="23" t="e">
        <f t="shared" si="89"/>
        <v>#VALUE!</v>
      </c>
      <c r="R262" s="23">
        <f t="shared" si="98"/>
        <v>261886.12902706492</v>
      </c>
      <c r="S262" s="25">
        <f t="shared" si="99"/>
        <v>1986.7223581363553</v>
      </c>
    </row>
    <row r="263" spans="1:19" x14ac:dyDescent="0.25">
      <c r="A263"/>
      <c r="B263"/>
      <c r="C263" s="22" t="str">
        <f t="shared" si="80"/>
        <v/>
      </c>
      <c r="D263" s="23" t="str">
        <f t="shared" si="81"/>
        <v/>
      </c>
      <c r="E263" s="23" t="str">
        <f t="shared" si="90"/>
        <v/>
      </c>
      <c r="F263" s="23" t="str">
        <f t="shared" si="91"/>
        <v/>
      </c>
      <c r="G263" s="52">
        <f t="shared" si="76"/>
        <v>0</v>
      </c>
      <c r="H263" s="23">
        <f t="shared" si="82"/>
        <v>0</v>
      </c>
      <c r="I263" s="24"/>
      <c r="J263" s="23" t="str">
        <f t="shared" si="83"/>
        <v/>
      </c>
      <c r="K263" s="23">
        <f t="shared" si="84"/>
        <v>0</v>
      </c>
      <c r="L263" s="23" t="str">
        <f t="shared" si="85"/>
        <v/>
      </c>
      <c r="M263" s="23" t="e">
        <f t="shared" si="86"/>
        <v>#VALUE!</v>
      </c>
      <c r="N263" s="23" t="str">
        <f t="shared" si="87"/>
        <v/>
      </c>
      <c r="O263" s="23" t="e">
        <f t="shared" si="88"/>
        <v>#VALUE!</v>
      </c>
      <c r="P263" s="23" t="e">
        <f t="shared" si="77"/>
        <v>#VALUE!</v>
      </c>
      <c r="Q263" s="23" t="e">
        <f t="shared" si="89"/>
        <v>#VALUE!</v>
      </c>
      <c r="R263" s="23">
        <f t="shared" si="98"/>
        <v>261886.12902706492</v>
      </c>
      <c r="S263" s="25">
        <f t="shared" si="99"/>
        <v>1986.7223581363553</v>
      </c>
    </row>
    <row r="264" spans="1:19" x14ac:dyDescent="0.25">
      <c r="A264"/>
      <c r="B264"/>
      <c r="C264" s="22" t="str">
        <f t="shared" si="80"/>
        <v/>
      </c>
      <c r="D264" s="23" t="str">
        <f t="shared" si="81"/>
        <v/>
      </c>
      <c r="E264" s="23" t="str">
        <f t="shared" si="90"/>
        <v/>
      </c>
      <c r="F264" s="23" t="str">
        <f t="shared" si="91"/>
        <v/>
      </c>
      <c r="G264" s="52">
        <f t="shared" si="76"/>
        <v>0</v>
      </c>
      <c r="H264" s="23">
        <f t="shared" si="82"/>
        <v>0</v>
      </c>
      <c r="I264" s="24"/>
      <c r="J264" s="23" t="str">
        <f t="shared" si="83"/>
        <v/>
      </c>
      <c r="K264" s="23">
        <f t="shared" si="84"/>
        <v>0</v>
      </c>
      <c r="L264" s="23" t="str">
        <f t="shared" si="85"/>
        <v/>
      </c>
      <c r="M264" s="23" t="e">
        <f t="shared" si="86"/>
        <v>#VALUE!</v>
      </c>
      <c r="N264" s="23" t="str">
        <f t="shared" si="87"/>
        <v/>
      </c>
      <c r="O264" s="23" t="e">
        <f t="shared" si="88"/>
        <v>#VALUE!</v>
      </c>
      <c r="P264" s="23" t="e">
        <f t="shared" si="77"/>
        <v>#VALUE!</v>
      </c>
      <c r="Q264" s="23" t="e">
        <f t="shared" si="89"/>
        <v>#VALUE!</v>
      </c>
      <c r="R264" s="23">
        <f t="shared" si="98"/>
        <v>261886.12902706492</v>
      </c>
      <c r="S264" s="25">
        <f t="shared" si="99"/>
        <v>1986.7223581363553</v>
      </c>
    </row>
    <row r="265" spans="1:19" x14ac:dyDescent="0.25">
      <c r="A265"/>
      <c r="B265"/>
      <c r="C265" s="22" t="str">
        <f t="shared" si="80"/>
        <v/>
      </c>
      <c r="D265" s="23" t="str">
        <f t="shared" si="81"/>
        <v/>
      </c>
      <c r="E265" s="23" t="str">
        <f t="shared" si="90"/>
        <v/>
      </c>
      <c r="F265" s="23" t="str">
        <f t="shared" si="91"/>
        <v/>
      </c>
      <c r="G265" s="52">
        <f t="shared" si="76"/>
        <v>0</v>
      </c>
      <c r="H265" s="23">
        <f t="shared" si="82"/>
        <v>0</v>
      </c>
      <c r="I265" s="24"/>
      <c r="J265" s="23" t="str">
        <f t="shared" si="83"/>
        <v/>
      </c>
      <c r="K265" s="23">
        <f t="shared" si="84"/>
        <v>0</v>
      </c>
      <c r="L265" s="23" t="str">
        <f t="shared" si="85"/>
        <v/>
      </c>
      <c r="M265" s="23" t="e">
        <f t="shared" si="86"/>
        <v>#VALUE!</v>
      </c>
      <c r="N265" s="23" t="str">
        <f t="shared" si="87"/>
        <v/>
      </c>
      <c r="O265" s="23" t="e">
        <f t="shared" si="88"/>
        <v>#VALUE!</v>
      </c>
      <c r="P265" s="23" t="e">
        <f t="shared" si="77"/>
        <v>#VALUE!</v>
      </c>
      <c r="Q265" s="23" t="e">
        <f t="shared" si="89"/>
        <v>#VALUE!</v>
      </c>
      <c r="R265" s="23">
        <f t="shared" ref="R265:R276" si="100">$R$264+ $R$264*$M$8</f>
        <v>269742.71289787686</v>
      </c>
      <c r="S265" s="25">
        <f t="shared" ref="S265:S276" si="101">$S$264 + ($S$264 * $T$5)</f>
        <v>2046.3240288804459</v>
      </c>
    </row>
    <row r="266" spans="1:19" x14ac:dyDescent="0.25">
      <c r="A266"/>
      <c r="B266"/>
      <c r="C266" s="22" t="str">
        <f t="shared" si="80"/>
        <v/>
      </c>
      <c r="D266" s="23" t="str">
        <f t="shared" si="81"/>
        <v/>
      </c>
      <c r="E266" s="23" t="str">
        <f t="shared" si="90"/>
        <v/>
      </c>
      <c r="F266" s="23" t="str">
        <f t="shared" si="91"/>
        <v/>
      </c>
      <c r="G266" s="52">
        <f t="shared" si="76"/>
        <v>0</v>
      </c>
      <c r="H266" s="23">
        <f t="shared" si="82"/>
        <v>0</v>
      </c>
      <c r="I266" s="24"/>
      <c r="J266" s="23" t="str">
        <f t="shared" si="83"/>
        <v/>
      </c>
      <c r="K266" s="23">
        <f t="shared" si="84"/>
        <v>0</v>
      </c>
      <c r="L266" s="23" t="str">
        <f t="shared" si="85"/>
        <v/>
      </c>
      <c r="M266" s="23" t="e">
        <f t="shared" si="86"/>
        <v>#VALUE!</v>
      </c>
      <c r="N266" s="23" t="str">
        <f t="shared" si="87"/>
        <v/>
      </c>
      <c r="O266" s="23" t="e">
        <f t="shared" si="88"/>
        <v>#VALUE!</v>
      </c>
      <c r="P266" s="23" t="e">
        <f t="shared" si="77"/>
        <v>#VALUE!</v>
      </c>
      <c r="Q266" s="23" t="e">
        <f t="shared" si="89"/>
        <v>#VALUE!</v>
      </c>
      <c r="R266" s="23">
        <f t="shared" si="100"/>
        <v>269742.71289787686</v>
      </c>
      <c r="S266" s="25">
        <f t="shared" si="101"/>
        <v>2046.3240288804459</v>
      </c>
    </row>
    <row r="267" spans="1:19" x14ac:dyDescent="0.25">
      <c r="A267"/>
      <c r="B267"/>
      <c r="C267" s="22" t="str">
        <f t="shared" si="80"/>
        <v/>
      </c>
      <c r="D267" s="23" t="str">
        <f t="shared" si="81"/>
        <v/>
      </c>
      <c r="E267" s="23" t="str">
        <f t="shared" si="90"/>
        <v/>
      </c>
      <c r="F267" s="23" t="str">
        <f t="shared" si="91"/>
        <v/>
      </c>
      <c r="G267" s="52">
        <f t="shared" si="76"/>
        <v>0</v>
      </c>
      <c r="H267" s="23">
        <f t="shared" si="82"/>
        <v>0</v>
      </c>
      <c r="I267" s="24"/>
      <c r="J267" s="23" t="str">
        <f t="shared" si="83"/>
        <v/>
      </c>
      <c r="K267" s="23">
        <f t="shared" si="84"/>
        <v>0</v>
      </c>
      <c r="L267" s="23" t="str">
        <f t="shared" si="85"/>
        <v/>
      </c>
      <c r="M267" s="23" t="e">
        <f t="shared" si="86"/>
        <v>#VALUE!</v>
      </c>
      <c r="N267" s="23" t="str">
        <f t="shared" si="87"/>
        <v/>
      </c>
      <c r="O267" s="23" t="e">
        <f t="shared" si="88"/>
        <v>#VALUE!</v>
      </c>
      <c r="P267" s="23" t="e">
        <f t="shared" si="77"/>
        <v>#VALUE!</v>
      </c>
      <c r="Q267" s="23" t="e">
        <f t="shared" si="89"/>
        <v>#VALUE!</v>
      </c>
      <c r="R267" s="23">
        <f t="shared" si="100"/>
        <v>269742.71289787686</v>
      </c>
      <c r="S267" s="25">
        <f t="shared" si="101"/>
        <v>2046.3240288804459</v>
      </c>
    </row>
    <row r="268" spans="1:19" x14ac:dyDescent="0.25">
      <c r="A268"/>
      <c r="B268"/>
      <c r="C268" s="22" t="str">
        <f t="shared" si="80"/>
        <v/>
      </c>
      <c r="D268" s="23" t="str">
        <f t="shared" si="81"/>
        <v/>
      </c>
      <c r="E268" s="23" t="str">
        <f t="shared" si="90"/>
        <v/>
      </c>
      <c r="F268" s="23" t="str">
        <f t="shared" si="91"/>
        <v/>
      </c>
      <c r="G268" s="52">
        <f t="shared" si="76"/>
        <v>0</v>
      </c>
      <c r="H268" s="23">
        <f t="shared" si="82"/>
        <v>0</v>
      </c>
      <c r="I268" s="24"/>
      <c r="J268" s="23" t="str">
        <f t="shared" si="83"/>
        <v/>
      </c>
      <c r="K268" s="23">
        <f t="shared" si="84"/>
        <v>0</v>
      </c>
      <c r="L268" s="23" t="str">
        <f t="shared" si="85"/>
        <v/>
      </c>
      <c r="M268" s="23" t="e">
        <f t="shared" si="86"/>
        <v>#VALUE!</v>
      </c>
      <c r="N268" s="23" t="str">
        <f t="shared" si="87"/>
        <v/>
      </c>
      <c r="O268" s="23" t="e">
        <f t="shared" si="88"/>
        <v>#VALUE!</v>
      </c>
      <c r="P268" s="23" t="e">
        <f t="shared" si="77"/>
        <v>#VALUE!</v>
      </c>
      <c r="Q268" s="23" t="e">
        <f t="shared" si="89"/>
        <v>#VALUE!</v>
      </c>
      <c r="R268" s="23">
        <f t="shared" si="100"/>
        <v>269742.71289787686</v>
      </c>
      <c r="S268" s="25">
        <f t="shared" si="101"/>
        <v>2046.3240288804459</v>
      </c>
    </row>
    <row r="269" spans="1:19" x14ac:dyDescent="0.25">
      <c r="A269"/>
      <c r="B269"/>
      <c r="C269" s="22" t="str">
        <f t="shared" si="80"/>
        <v/>
      </c>
      <c r="D269" s="23" t="str">
        <f t="shared" si="81"/>
        <v/>
      </c>
      <c r="E269" s="23" t="str">
        <f t="shared" si="90"/>
        <v/>
      </c>
      <c r="F269" s="23" t="str">
        <f t="shared" si="91"/>
        <v/>
      </c>
      <c r="G269" s="52">
        <f t="shared" ref="G269:G332" si="102">+IF(C269="",0,$H$4)</f>
        <v>0</v>
      </c>
      <c r="H269" s="23">
        <f t="shared" si="82"/>
        <v>0</v>
      </c>
      <c r="I269" s="24"/>
      <c r="J269" s="23" t="str">
        <f t="shared" si="83"/>
        <v/>
      </c>
      <c r="K269" s="23">
        <f t="shared" si="84"/>
        <v>0</v>
      </c>
      <c r="L269" s="23" t="str">
        <f t="shared" si="85"/>
        <v/>
      </c>
      <c r="M269" s="23" t="e">
        <f t="shared" si="86"/>
        <v>#VALUE!</v>
      </c>
      <c r="N269" s="23" t="str">
        <f t="shared" si="87"/>
        <v/>
      </c>
      <c r="O269" s="23" t="e">
        <f t="shared" si="88"/>
        <v>#VALUE!</v>
      </c>
      <c r="P269" s="23" t="e">
        <f t="shared" ref="P269:P332" si="103">M269+N269-O269</f>
        <v>#VALUE!</v>
      </c>
      <c r="Q269" s="23" t="e">
        <f t="shared" si="89"/>
        <v>#VALUE!</v>
      </c>
      <c r="R269" s="23">
        <f t="shared" si="100"/>
        <v>269742.71289787686</v>
      </c>
      <c r="S269" s="25">
        <f t="shared" si="101"/>
        <v>2046.3240288804459</v>
      </c>
    </row>
    <row r="270" spans="1:19" x14ac:dyDescent="0.25">
      <c r="A270"/>
      <c r="B270"/>
      <c r="C270" s="22" t="str">
        <f t="shared" ref="C270:C333" si="104">+IF(L269&gt;1,IF(C269="","",C269+1),"")</f>
        <v/>
      </c>
      <c r="D270" s="23" t="str">
        <f t="shared" ref="D270:D333" si="105">+IF(C270="","",L269)</f>
        <v/>
      </c>
      <c r="E270" s="23" t="str">
        <f t="shared" si="90"/>
        <v/>
      </c>
      <c r="F270" s="23" t="str">
        <f t="shared" si="91"/>
        <v/>
      </c>
      <c r="G270" s="52">
        <f t="shared" si="102"/>
        <v>0</v>
      </c>
      <c r="H270" s="23">
        <f t="shared" ref="H270:H333" si="106">+IF(C270="",0,IF(D270&lt;$D$4*0.8,0,$H$5))</f>
        <v>0</v>
      </c>
      <c r="I270" s="24"/>
      <c r="J270" s="23" t="str">
        <f t="shared" ref="J270:J333" si="107">IF(C270="","",167/12)</f>
        <v/>
      </c>
      <c r="K270" s="23">
        <f t="shared" ref="K270:K333" si="108">+IF(C270="",0,F270+I270)</f>
        <v>0</v>
      </c>
      <c r="L270" s="23" t="str">
        <f t="shared" ref="L270:L333" si="109">+IF(C270="","",D270-K270)</f>
        <v/>
      </c>
      <c r="M270" s="23" t="e">
        <f t="shared" ref="M270:M333" si="110">J270+I270+H270+G270+F270+E270</f>
        <v>#VALUE!</v>
      </c>
      <c r="N270" s="23" t="str">
        <f t="shared" ref="N270:N333" si="111">IF(C270="","",$M$4)</f>
        <v/>
      </c>
      <c r="O270" s="23" t="e">
        <f t="shared" ref="O270:O333" si="112">(E270+G270)*0</f>
        <v>#VALUE!</v>
      </c>
      <c r="P270" s="23" t="e">
        <f t="shared" si="103"/>
        <v>#VALUE!</v>
      </c>
      <c r="Q270" s="23" t="e">
        <f t="shared" ref="Q270:Q333" si="113">P270-F270+N270</f>
        <v>#VALUE!</v>
      </c>
      <c r="R270" s="23">
        <f t="shared" si="100"/>
        <v>269742.71289787686</v>
      </c>
      <c r="S270" s="25">
        <f t="shared" si="101"/>
        <v>2046.3240288804459</v>
      </c>
    </row>
    <row r="271" spans="1:19" x14ac:dyDescent="0.25">
      <c r="A271"/>
      <c r="B271"/>
      <c r="C271" s="22" t="str">
        <f t="shared" si="104"/>
        <v/>
      </c>
      <c r="D271" s="23" t="str">
        <f t="shared" si="105"/>
        <v/>
      </c>
      <c r="E271" s="23" t="str">
        <f t="shared" si="90"/>
        <v/>
      </c>
      <c r="F271" s="23" t="str">
        <f t="shared" si="91"/>
        <v/>
      </c>
      <c r="G271" s="52">
        <f t="shared" si="102"/>
        <v>0</v>
      </c>
      <c r="H271" s="23">
        <f t="shared" si="106"/>
        <v>0</v>
      </c>
      <c r="I271" s="24"/>
      <c r="J271" s="23" t="str">
        <f t="shared" si="107"/>
        <v/>
      </c>
      <c r="K271" s="23">
        <f t="shared" si="108"/>
        <v>0</v>
      </c>
      <c r="L271" s="23" t="str">
        <f t="shared" si="109"/>
        <v/>
      </c>
      <c r="M271" s="23" t="e">
        <f t="shared" si="110"/>
        <v>#VALUE!</v>
      </c>
      <c r="N271" s="23" t="str">
        <f t="shared" si="111"/>
        <v/>
      </c>
      <c r="O271" s="23" t="e">
        <f t="shared" si="112"/>
        <v>#VALUE!</v>
      </c>
      <c r="P271" s="23" t="e">
        <f t="shared" si="103"/>
        <v>#VALUE!</v>
      </c>
      <c r="Q271" s="23" t="e">
        <f t="shared" si="113"/>
        <v>#VALUE!</v>
      </c>
      <c r="R271" s="23">
        <f t="shared" si="100"/>
        <v>269742.71289787686</v>
      </c>
      <c r="S271" s="25">
        <f t="shared" si="101"/>
        <v>2046.3240288804459</v>
      </c>
    </row>
    <row r="272" spans="1:19" x14ac:dyDescent="0.25">
      <c r="A272"/>
      <c r="B272"/>
      <c r="C272" s="22" t="str">
        <f t="shared" si="104"/>
        <v/>
      </c>
      <c r="D272" s="23" t="str">
        <f t="shared" si="105"/>
        <v/>
      </c>
      <c r="E272" s="23" t="str">
        <f t="shared" si="90"/>
        <v/>
      </c>
      <c r="F272" s="23" t="str">
        <f t="shared" si="91"/>
        <v/>
      </c>
      <c r="G272" s="52">
        <f t="shared" si="102"/>
        <v>0</v>
      </c>
      <c r="H272" s="23">
        <f t="shared" si="106"/>
        <v>0</v>
      </c>
      <c r="I272" s="24"/>
      <c r="J272" s="23" t="str">
        <f t="shared" si="107"/>
        <v/>
      </c>
      <c r="K272" s="23">
        <f t="shared" si="108"/>
        <v>0</v>
      </c>
      <c r="L272" s="23" t="str">
        <f t="shared" si="109"/>
        <v/>
      </c>
      <c r="M272" s="23" t="e">
        <f t="shared" si="110"/>
        <v>#VALUE!</v>
      </c>
      <c r="N272" s="23" t="str">
        <f t="shared" si="111"/>
        <v/>
      </c>
      <c r="O272" s="23" t="e">
        <f t="shared" si="112"/>
        <v>#VALUE!</v>
      </c>
      <c r="P272" s="23" t="e">
        <f t="shared" si="103"/>
        <v>#VALUE!</v>
      </c>
      <c r="Q272" s="23" t="e">
        <f t="shared" si="113"/>
        <v>#VALUE!</v>
      </c>
      <c r="R272" s="23">
        <f t="shared" si="100"/>
        <v>269742.71289787686</v>
      </c>
      <c r="S272" s="25">
        <f t="shared" si="101"/>
        <v>2046.3240288804459</v>
      </c>
    </row>
    <row r="273" spans="1:19" x14ac:dyDescent="0.25">
      <c r="A273"/>
      <c r="B273"/>
      <c r="C273" s="22" t="str">
        <f t="shared" si="104"/>
        <v/>
      </c>
      <c r="D273" s="23" t="str">
        <f t="shared" si="105"/>
        <v/>
      </c>
      <c r="E273" s="23" t="str">
        <f t="shared" ref="E273:E336" si="114">IF(C273="","",($D$5/12)*D273)</f>
        <v/>
      </c>
      <c r="F273" s="23" t="str">
        <f t="shared" si="91"/>
        <v/>
      </c>
      <c r="G273" s="52">
        <f t="shared" si="102"/>
        <v>0</v>
      </c>
      <c r="H273" s="23">
        <f t="shared" si="106"/>
        <v>0</v>
      </c>
      <c r="I273" s="24"/>
      <c r="J273" s="23" t="str">
        <f t="shared" si="107"/>
        <v/>
      </c>
      <c r="K273" s="23">
        <f t="shared" si="108"/>
        <v>0</v>
      </c>
      <c r="L273" s="23" t="str">
        <f t="shared" si="109"/>
        <v/>
      </c>
      <c r="M273" s="23" t="e">
        <f t="shared" si="110"/>
        <v>#VALUE!</v>
      </c>
      <c r="N273" s="23" t="str">
        <f t="shared" si="111"/>
        <v/>
      </c>
      <c r="O273" s="23" t="e">
        <f t="shared" si="112"/>
        <v>#VALUE!</v>
      </c>
      <c r="P273" s="23" t="e">
        <f t="shared" si="103"/>
        <v>#VALUE!</v>
      </c>
      <c r="Q273" s="23" t="e">
        <f t="shared" si="113"/>
        <v>#VALUE!</v>
      </c>
      <c r="R273" s="23">
        <f t="shared" si="100"/>
        <v>269742.71289787686</v>
      </c>
      <c r="S273" s="25">
        <f t="shared" si="101"/>
        <v>2046.3240288804459</v>
      </c>
    </row>
    <row r="274" spans="1:19" x14ac:dyDescent="0.25">
      <c r="A274"/>
      <c r="B274"/>
      <c r="C274" s="22" t="str">
        <f t="shared" si="104"/>
        <v/>
      </c>
      <c r="D274" s="23" t="str">
        <f t="shared" si="105"/>
        <v/>
      </c>
      <c r="E274" s="23" t="str">
        <f t="shared" si="114"/>
        <v/>
      </c>
      <c r="F274" s="23" t="str">
        <f t="shared" si="91"/>
        <v/>
      </c>
      <c r="G274" s="52">
        <f t="shared" si="102"/>
        <v>0</v>
      </c>
      <c r="H274" s="23">
        <f t="shared" si="106"/>
        <v>0</v>
      </c>
      <c r="I274" s="24"/>
      <c r="J274" s="23" t="str">
        <f t="shared" si="107"/>
        <v/>
      </c>
      <c r="K274" s="23">
        <f t="shared" si="108"/>
        <v>0</v>
      </c>
      <c r="L274" s="23" t="str">
        <f t="shared" si="109"/>
        <v/>
      </c>
      <c r="M274" s="23" t="e">
        <f t="shared" si="110"/>
        <v>#VALUE!</v>
      </c>
      <c r="N274" s="23" t="str">
        <f t="shared" si="111"/>
        <v/>
      </c>
      <c r="O274" s="23" t="e">
        <f t="shared" si="112"/>
        <v>#VALUE!</v>
      </c>
      <c r="P274" s="23" t="e">
        <f t="shared" si="103"/>
        <v>#VALUE!</v>
      </c>
      <c r="Q274" s="23" t="e">
        <f t="shared" si="113"/>
        <v>#VALUE!</v>
      </c>
      <c r="R274" s="23">
        <f t="shared" si="100"/>
        <v>269742.71289787686</v>
      </c>
      <c r="S274" s="25">
        <f t="shared" si="101"/>
        <v>2046.3240288804459</v>
      </c>
    </row>
    <row r="275" spans="1:19" x14ac:dyDescent="0.25">
      <c r="A275"/>
      <c r="B275"/>
      <c r="C275" s="22" t="str">
        <f t="shared" si="104"/>
        <v/>
      </c>
      <c r="D275" s="23" t="str">
        <f t="shared" si="105"/>
        <v/>
      </c>
      <c r="E275" s="23" t="str">
        <f t="shared" si="114"/>
        <v/>
      </c>
      <c r="F275" s="23" t="str">
        <f t="shared" ref="F275:F338" si="115">IF(C275="","",$D$8-E275)</f>
        <v/>
      </c>
      <c r="G275" s="52">
        <f t="shared" si="102"/>
        <v>0</v>
      </c>
      <c r="H275" s="23">
        <f t="shared" si="106"/>
        <v>0</v>
      </c>
      <c r="I275" s="24"/>
      <c r="J275" s="23" t="str">
        <f t="shared" si="107"/>
        <v/>
      </c>
      <c r="K275" s="23">
        <f t="shared" si="108"/>
        <v>0</v>
      </c>
      <c r="L275" s="23" t="str">
        <f t="shared" si="109"/>
        <v/>
      </c>
      <c r="M275" s="23" t="e">
        <f t="shared" si="110"/>
        <v>#VALUE!</v>
      </c>
      <c r="N275" s="23" t="str">
        <f t="shared" si="111"/>
        <v/>
      </c>
      <c r="O275" s="23" t="e">
        <f t="shared" si="112"/>
        <v>#VALUE!</v>
      </c>
      <c r="P275" s="23" t="e">
        <f t="shared" si="103"/>
        <v>#VALUE!</v>
      </c>
      <c r="Q275" s="23" t="e">
        <f t="shared" si="113"/>
        <v>#VALUE!</v>
      </c>
      <c r="R275" s="23">
        <f t="shared" si="100"/>
        <v>269742.71289787686</v>
      </c>
      <c r="S275" s="25">
        <f t="shared" si="101"/>
        <v>2046.3240288804459</v>
      </c>
    </row>
    <row r="276" spans="1:19" x14ac:dyDescent="0.25">
      <c r="A276"/>
      <c r="B276"/>
      <c r="C276" s="22" t="str">
        <f t="shared" si="104"/>
        <v/>
      </c>
      <c r="D276" s="23" t="str">
        <f t="shared" si="105"/>
        <v/>
      </c>
      <c r="E276" s="23" t="str">
        <f t="shared" si="114"/>
        <v/>
      </c>
      <c r="F276" s="23" t="str">
        <f t="shared" si="115"/>
        <v/>
      </c>
      <c r="G276" s="52">
        <f t="shared" si="102"/>
        <v>0</v>
      </c>
      <c r="H276" s="23">
        <f t="shared" si="106"/>
        <v>0</v>
      </c>
      <c r="I276" s="24"/>
      <c r="J276" s="23" t="str">
        <f t="shared" si="107"/>
        <v/>
      </c>
      <c r="K276" s="23">
        <f t="shared" si="108"/>
        <v>0</v>
      </c>
      <c r="L276" s="23" t="str">
        <f t="shared" si="109"/>
        <v/>
      </c>
      <c r="M276" s="23" t="e">
        <f t="shared" si="110"/>
        <v>#VALUE!</v>
      </c>
      <c r="N276" s="23" t="str">
        <f t="shared" si="111"/>
        <v/>
      </c>
      <c r="O276" s="23" t="e">
        <f t="shared" si="112"/>
        <v>#VALUE!</v>
      </c>
      <c r="P276" s="23" t="e">
        <f t="shared" si="103"/>
        <v>#VALUE!</v>
      </c>
      <c r="Q276" s="23" t="e">
        <f t="shared" si="113"/>
        <v>#VALUE!</v>
      </c>
      <c r="R276" s="23">
        <f t="shared" si="100"/>
        <v>269742.71289787686</v>
      </c>
      <c r="S276" s="25">
        <f t="shared" si="101"/>
        <v>2046.3240288804459</v>
      </c>
    </row>
    <row r="277" spans="1:19" x14ac:dyDescent="0.25">
      <c r="A277"/>
      <c r="B277"/>
      <c r="C277" s="22" t="str">
        <f t="shared" si="104"/>
        <v/>
      </c>
      <c r="D277" s="23" t="str">
        <f t="shared" si="105"/>
        <v/>
      </c>
      <c r="E277" s="23" t="str">
        <f t="shared" si="114"/>
        <v/>
      </c>
      <c r="F277" s="23" t="str">
        <f t="shared" si="115"/>
        <v/>
      </c>
      <c r="G277" s="52">
        <f t="shared" si="102"/>
        <v>0</v>
      </c>
      <c r="H277" s="23">
        <f t="shared" si="106"/>
        <v>0</v>
      </c>
      <c r="I277" s="24"/>
      <c r="J277" s="23" t="str">
        <f t="shared" si="107"/>
        <v/>
      </c>
      <c r="K277" s="23">
        <f t="shared" si="108"/>
        <v>0</v>
      </c>
      <c r="L277" s="23" t="str">
        <f t="shared" si="109"/>
        <v/>
      </c>
      <c r="M277" s="23" t="e">
        <f t="shared" si="110"/>
        <v>#VALUE!</v>
      </c>
      <c r="N277" s="23" t="str">
        <f t="shared" si="111"/>
        <v/>
      </c>
      <c r="O277" s="23" t="e">
        <f t="shared" si="112"/>
        <v>#VALUE!</v>
      </c>
      <c r="P277" s="23" t="e">
        <f t="shared" si="103"/>
        <v>#VALUE!</v>
      </c>
      <c r="Q277" s="23" t="e">
        <f t="shared" si="113"/>
        <v>#VALUE!</v>
      </c>
      <c r="R277" s="23">
        <f t="shared" ref="R277:R288" si="116">$R$276+ $R$276*$M$8</f>
        <v>277834.99428481318</v>
      </c>
      <c r="S277" s="25">
        <f t="shared" ref="S277:S288" si="117">$S$276 + ($S$276 * $T$5)</f>
        <v>2107.7137497468593</v>
      </c>
    </row>
    <row r="278" spans="1:19" x14ac:dyDescent="0.25">
      <c r="A278"/>
      <c r="B278"/>
      <c r="C278" s="22" t="str">
        <f t="shared" si="104"/>
        <v/>
      </c>
      <c r="D278" s="23" t="str">
        <f t="shared" si="105"/>
        <v/>
      </c>
      <c r="E278" s="23" t="str">
        <f t="shared" si="114"/>
        <v/>
      </c>
      <c r="F278" s="23" t="str">
        <f t="shared" si="115"/>
        <v/>
      </c>
      <c r="G278" s="52">
        <f t="shared" si="102"/>
        <v>0</v>
      </c>
      <c r="H278" s="23">
        <f t="shared" si="106"/>
        <v>0</v>
      </c>
      <c r="I278" s="24"/>
      <c r="J278" s="23" t="str">
        <f t="shared" si="107"/>
        <v/>
      </c>
      <c r="K278" s="23">
        <f t="shared" si="108"/>
        <v>0</v>
      </c>
      <c r="L278" s="23" t="str">
        <f t="shared" si="109"/>
        <v/>
      </c>
      <c r="M278" s="23" t="e">
        <f t="shared" si="110"/>
        <v>#VALUE!</v>
      </c>
      <c r="N278" s="23" t="str">
        <f t="shared" si="111"/>
        <v/>
      </c>
      <c r="O278" s="23" t="e">
        <f t="shared" si="112"/>
        <v>#VALUE!</v>
      </c>
      <c r="P278" s="23" t="e">
        <f t="shared" si="103"/>
        <v>#VALUE!</v>
      </c>
      <c r="Q278" s="23" t="e">
        <f t="shared" si="113"/>
        <v>#VALUE!</v>
      </c>
      <c r="R278" s="23">
        <f t="shared" si="116"/>
        <v>277834.99428481318</v>
      </c>
      <c r="S278" s="25">
        <f t="shared" si="117"/>
        <v>2107.7137497468593</v>
      </c>
    </row>
    <row r="279" spans="1:19" x14ac:dyDescent="0.25">
      <c r="A279"/>
      <c r="B279"/>
      <c r="C279" s="22" t="str">
        <f t="shared" si="104"/>
        <v/>
      </c>
      <c r="D279" s="23" t="str">
        <f t="shared" si="105"/>
        <v/>
      </c>
      <c r="E279" s="23" t="str">
        <f t="shared" si="114"/>
        <v/>
      </c>
      <c r="F279" s="23" t="str">
        <f t="shared" si="115"/>
        <v/>
      </c>
      <c r="G279" s="52">
        <f t="shared" si="102"/>
        <v>0</v>
      </c>
      <c r="H279" s="23">
        <f t="shared" si="106"/>
        <v>0</v>
      </c>
      <c r="I279" s="24"/>
      <c r="J279" s="23" t="str">
        <f t="shared" si="107"/>
        <v/>
      </c>
      <c r="K279" s="23">
        <f t="shared" si="108"/>
        <v>0</v>
      </c>
      <c r="L279" s="23" t="str">
        <f t="shared" si="109"/>
        <v/>
      </c>
      <c r="M279" s="23" t="e">
        <f t="shared" si="110"/>
        <v>#VALUE!</v>
      </c>
      <c r="N279" s="23" t="str">
        <f t="shared" si="111"/>
        <v/>
      </c>
      <c r="O279" s="23" t="e">
        <f t="shared" si="112"/>
        <v>#VALUE!</v>
      </c>
      <c r="P279" s="23" t="e">
        <f t="shared" si="103"/>
        <v>#VALUE!</v>
      </c>
      <c r="Q279" s="23" t="e">
        <f t="shared" si="113"/>
        <v>#VALUE!</v>
      </c>
      <c r="R279" s="23">
        <f t="shared" si="116"/>
        <v>277834.99428481318</v>
      </c>
      <c r="S279" s="25">
        <f t="shared" si="117"/>
        <v>2107.7137497468593</v>
      </c>
    </row>
    <row r="280" spans="1:19" x14ac:dyDescent="0.25">
      <c r="A280"/>
      <c r="B280"/>
      <c r="C280" s="22" t="str">
        <f t="shared" si="104"/>
        <v/>
      </c>
      <c r="D280" s="23" t="str">
        <f t="shared" si="105"/>
        <v/>
      </c>
      <c r="E280" s="23" t="str">
        <f t="shared" si="114"/>
        <v/>
      </c>
      <c r="F280" s="23" t="str">
        <f t="shared" si="115"/>
        <v/>
      </c>
      <c r="G280" s="52">
        <f t="shared" si="102"/>
        <v>0</v>
      </c>
      <c r="H280" s="23">
        <f t="shared" si="106"/>
        <v>0</v>
      </c>
      <c r="I280" s="24"/>
      <c r="J280" s="23" t="str">
        <f t="shared" si="107"/>
        <v/>
      </c>
      <c r="K280" s="23">
        <f t="shared" si="108"/>
        <v>0</v>
      </c>
      <c r="L280" s="23" t="str">
        <f t="shared" si="109"/>
        <v/>
      </c>
      <c r="M280" s="23" t="e">
        <f t="shared" si="110"/>
        <v>#VALUE!</v>
      </c>
      <c r="N280" s="23" t="str">
        <f t="shared" si="111"/>
        <v/>
      </c>
      <c r="O280" s="23" t="e">
        <f t="shared" si="112"/>
        <v>#VALUE!</v>
      </c>
      <c r="P280" s="23" t="e">
        <f t="shared" si="103"/>
        <v>#VALUE!</v>
      </c>
      <c r="Q280" s="23" t="e">
        <f t="shared" si="113"/>
        <v>#VALUE!</v>
      </c>
      <c r="R280" s="23">
        <f t="shared" si="116"/>
        <v>277834.99428481318</v>
      </c>
      <c r="S280" s="25">
        <f t="shared" si="117"/>
        <v>2107.7137497468593</v>
      </c>
    </row>
    <row r="281" spans="1:19" x14ac:dyDescent="0.25">
      <c r="A281"/>
      <c r="B281"/>
      <c r="C281" s="22" t="str">
        <f t="shared" si="104"/>
        <v/>
      </c>
      <c r="D281" s="23" t="str">
        <f t="shared" si="105"/>
        <v/>
      </c>
      <c r="E281" s="23" t="str">
        <f t="shared" si="114"/>
        <v/>
      </c>
      <c r="F281" s="23" t="str">
        <f t="shared" si="115"/>
        <v/>
      </c>
      <c r="G281" s="52">
        <f t="shared" si="102"/>
        <v>0</v>
      </c>
      <c r="H281" s="23">
        <f t="shared" si="106"/>
        <v>0</v>
      </c>
      <c r="I281" s="24"/>
      <c r="J281" s="23" t="str">
        <f t="shared" si="107"/>
        <v/>
      </c>
      <c r="K281" s="23">
        <f t="shared" si="108"/>
        <v>0</v>
      </c>
      <c r="L281" s="23" t="str">
        <f t="shared" si="109"/>
        <v/>
      </c>
      <c r="M281" s="23" t="e">
        <f t="shared" si="110"/>
        <v>#VALUE!</v>
      </c>
      <c r="N281" s="23" t="str">
        <f t="shared" si="111"/>
        <v/>
      </c>
      <c r="O281" s="23" t="e">
        <f t="shared" si="112"/>
        <v>#VALUE!</v>
      </c>
      <c r="P281" s="23" t="e">
        <f t="shared" si="103"/>
        <v>#VALUE!</v>
      </c>
      <c r="Q281" s="23" t="e">
        <f t="shared" si="113"/>
        <v>#VALUE!</v>
      </c>
      <c r="R281" s="23">
        <f t="shared" si="116"/>
        <v>277834.99428481318</v>
      </c>
      <c r="S281" s="25">
        <f t="shared" si="117"/>
        <v>2107.7137497468593</v>
      </c>
    </row>
    <row r="282" spans="1:19" x14ac:dyDescent="0.25">
      <c r="A282"/>
      <c r="B282"/>
      <c r="C282" s="22" t="str">
        <f t="shared" si="104"/>
        <v/>
      </c>
      <c r="D282" s="23" t="str">
        <f t="shared" si="105"/>
        <v/>
      </c>
      <c r="E282" s="23" t="str">
        <f t="shared" si="114"/>
        <v/>
      </c>
      <c r="F282" s="23" t="str">
        <f t="shared" si="115"/>
        <v/>
      </c>
      <c r="G282" s="52">
        <f t="shared" si="102"/>
        <v>0</v>
      </c>
      <c r="H282" s="23">
        <f t="shared" si="106"/>
        <v>0</v>
      </c>
      <c r="I282" s="24"/>
      <c r="J282" s="23" t="str">
        <f t="shared" si="107"/>
        <v/>
      </c>
      <c r="K282" s="23">
        <f t="shared" si="108"/>
        <v>0</v>
      </c>
      <c r="L282" s="23" t="str">
        <f t="shared" si="109"/>
        <v/>
      </c>
      <c r="M282" s="23" t="e">
        <f t="shared" si="110"/>
        <v>#VALUE!</v>
      </c>
      <c r="N282" s="23" t="str">
        <f t="shared" si="111"/>
        <v/>
      </c>
      <c r="O282" s="23" t="e">
        <f t="shared" si="112"/>
        <v>#VALUE!</v>
      </c>
      <c r="P282" s="23" t="e">
        <f t="shared" si="103"/>
        <v>#VALUE!</v>
      </c>
      <c r="Q282" s="23" t="e">
        <f t="shared" si="113"/>
        <v>#VALUE!</v>
      </c>
      <c r="R282" s="23">
        <f t="shared" si="116"/>
        <v>277834.99428481318</v>
      </c>
      <c r="S282" s="25">
        <f t="shared" si="117"/>
        <v>2107.7137497468593</v>
      </c>
    </row>
    <row r="283" spans="1:19" x14ac:dyDescent="0.25">
      <c r="A283"/>
      <c r="B283"/>
      <c r="C283" s="22" t="str">
        <f t="shared" si="104"/>
        <v/>
      </c>
      <c r="D283" s="23" t="str">
        <f t="shared" si="105"/>
        <v/>
      </c>
      <c r="E283" s="23" t="str">
        <f t="shared" si="114"/>
        <v/>
      </c>
      <c r="F283" s="23" t="str">
        <f t="shared" si="115"/>
        <v/>
      </c>
      <c r="G283" s="52">
        <f t="shared" si="102"/>
        <v>0</v>
      </c>
      <c r="H283" s="23">
        <f t="shared" si="106"/>
        <v>0</v>
      </c>
      <c r="I283" s="24"/>
      <c r="J283" s="23" t="str">
        <f t="shared" si="107"/>
        <v/>
      </c>
      <c r="K283" s="23">
        <f t="shared" si="108"/>
        <v>0</v>
      </c>
      <c r="L283" s="23" t="str">
        <f t="shared" si="109"/>
        <v/>
      </c>
      <c r="M283" s="23" t="e">
        <f t="shared" si="110"/>
        <v>#VALUE!</v>
      </c>
      <c r="N283" s="23" t="str">
        <f t="shared" si="111"/>
        <v/>
      </c>
      <c r="O283" s="23" t="e">
        <f t="shared" si="112"/>
        <v>#VALUE!</v>
      </c>
      <c r="P283" s="23" t="e">
        <f t="shared" si="103"/>
        <v>#VALUE!</v>
      </c>
      <c r="Q283" s="23" t="e">
        <f t="shared" si="113"/>
        <v>#VALUE!</v>
      </c>
      <c r="R283" s="23">
        <f t="shared" si="116"/>
        <v>277834.99428481318</v>
      </c>
      <c r="S283" s="25">
        <f t="shared" si="117"/>
        <v>2107.7137497468593</v>
      </c>
    </row>
    <row r="284" spans="1:19" x14ac:dyDescent="0.25">
      <c r="A284"/>
      <c r="B284"/>
      <c r="C284" s="22" t="str">
        <f t="shared" si="104"/>
        <v/>
      </c>
      <c r="D284" s="23" t="str">
        <f t="shared" si="105"/>
        <v/>
      </c>
      <c r="E284" s="23" t="str">
        <f t="shared" si="114"/>
        <v/>
      </c>
      <c r="F284" s="23" t="str">
        <f t="shared" si="115"/>
        <v/>
      </c>
      <c r="G284" s="52">
        <f t="shared" si="102"/>
        <v>0</v>
      </c>
      <c r="H284" s="23">
        <f t="shared" si="106"/>
        <v>0</v>
      </c>
      <c r="I284" s="24"/>
      <c r="J284" s="23" t="str">
        <f t="shared" si="107"/>
        <v/>
      </c>
      <c r="K284" s="23">
        <f t="shared" si="108"/>
        <v>0</v>
      </c>
      <c r="L284" s="23" t="str">
        <f t="shared" si="109"/>
        <v/>
      </c>
      <c r="M284" s="23" t="e">
        <f t="shared" si="110"/>
        <v>#VALUE!</v>
      </c>
      <c r="N284" s="23" t="str">
        <f t="shared" si="111"/>
        <v/>
      </c>
      <c r="O284" s="23" t="e">
        <f t="shared" si="112"/>
        <v>#VALUE!</v>
      </c>
      <c r="P284" s="23" t="e">
        <f t="shared" si="103"/>
        <v>#VALUE!</v>
      </c>
      <c r="Q284" s="23" t="e">
        <f t="shared" si="113"/>
        <v>#VALUE!</v>
      </c>
      <c r="R284" s="23">
        <f t="shared" si="116"/>
        <v>277834.99428481318</v>
      </c>
      <c r="S284" s="25">
        <f t="shared" si="117"/>
        <v>2107.7137497468593</v>
      </c>
    </row>
    <row r="285" spans="1:19" x14ac:dyDescent="0.25">
      <c r="A285"/>
      <c r="B285"/>
      <c r="C285" s="22" t="str">
        <f t="shared" si="104"/>
        <v/>
      </c>
      <c r="D285" s="23" t="str">
        <f t="shared" si="105"/>
        <v/>
      </c>
      <c r="E285" s="23" t="str">
        <f t="shared" si="114"/>
        <v/>
      </c>
      <c r="F285" s="23" t="str">
        <f t="shared" si="115"/>
        <v/>
      </c>
      <c r="G285" s="52">
        <f t="shared" si="102"/>
        <v>0</v>
      </c>
      <c r="H285" s="23">
        <f t="shared" si="106"/>
        <v>0</v>
      </c>
      <c r="I285" s="24"/>
      <c r="J285" s="23" t="str">
        <f t="shared" si="107"/>
        <v/>
      </c>
      <c r="K285" s="23">
        <f t="shared" si="108"/>
        <v>0</v>
      </c>
      <c r="L285" s="23" t="str">
        <f t="shared" si="109"/>
        <v/>
      </c>
      <c r="M285" s="23" t="e">
        <f t="shared" si="110"/>
        <v>#VALUE!</v>
      </c>
      <c r="N285" s="23" t="str">
        <f t="shared" si="111"/>
        <v/>
      </c>
      <c r="O285" s="23" t="e">
        <f t="shared" si="112"/>
        <v>#VALUE!</v>
      </c>
      <c r="P285" s="23" t="e">
        <f t="shared" si="103"/>
        <v>#VALUE!</v>
      </c>
      <c r="Q285" s="23" t="e">
        <f t="shared" si="113"/>
        <v>#VALUE!</v>
      </c>
      <c r="R285" s="23">
        <f t="shared" si="116"/>
        <v>277834.99428481318</v>
      </c>
      <c r="S285" s="25">
        <f t="shared" si="117"/>
        <v>2107.7137497468593</v>
      </c>
    </row>
    <row r="286" spans="1:19" x14ac:dyDescent="0.25">
      <c r="A286"/>
      <c r="B286"/>
      <c r="C286" s="22" t="str">
        <f t="shared" si="104"/>
        <v/>
      </c>
      <c r="D286" s="23" t="str">
        <f t="shared" si="105"/>
        <v/>
      </c>
      <c r="E286" s="23" t="str">
        <f t="shared" si="114"/>
        <v/>
      </c>
      <c r="F286" s="23" t="str">
        <f t="shared" si="115"/>
        <v/>
      </c>
      <c r="G286" s="52">
        <f t="shared" si="102"/>
        <v>0</v>
      </c>
      <c r="H286" s="23">
        <f t="shared" si="106"/>
        <v>0</v>
      </c>
      <c r="I286" s="24"/>
      <c r="J286" s="23" t="str">
        <f t="shared" si="107"/>
        <v/>
      </c>
      <c r="K286" s="23">
        <f t="shared" si="108"/>
        <v>0</v>
      </c>
      <c r="L286" s="23" t="str">
        <f t="shared" si="109"/>
        <v/>
      </c>
      <c r="M286" s="23" t="e">
        <f t="shared" si="110"/>
        <v>#VALUE!</v>
      </c>
      <c r="N286" s="23" t="str">
        <f t="shared" si="111"/>
        <v/>
      </c>
      <c r="O286" s="23" t="e">
        <f t="shared" si="112"/>
        <v>#VALUE!</v>
      </c>
      <c r="P286" s="23" t="e">
        <f t="shared" si="103"/>
        <v>#VALUE!</v>
      </c>
      <c r="Q286" s="23" t="e">
        <f t="shared" si="113"/>
        <v>#VALUE!</v>
      </c>
      <c r="R286" s="23">
        <f t="shared" si="116"/>
        <v>277834.99428481318</v>
      </c>
      <c r="S286" s="25">
        <f t="shared" si="117"/>
        <v>2107.7137497468593</v>
      </c>
    </row>
    <row r="287" spans="1:19" x14ac:dyDescent="0.25">
      <c r="A287"/>
      <c r="B287"/>
      <c r="C287" s="22" t="str">
        <f t="shared" si="104"/>
        <v/>
      </c>
      <c r="D287" s="23" t="str">
        <f t="shared" si="105"/>
        <v/>
      </c>
      <c r="E287" s="23" t="str">
        <f t="shared" si="114"/>
        <v/>
      </c>
      <c r="F287" s="23" t="str">
        <f t="shared" si="115"/>
        <v/>
      </c>
      <c r="G287" s="52">
        <f t="shared" si="102"/>
        <v>0</v>
      </c>
      <c r="H287" s="23">
        <f t="shared" si="106"/>
        <v>0</v>
      </c>
      <c r="I287" s="24"/>
      <c r="J287" s="23" t="str">
        <f t="shared" si="107"/>
        <v/>
      </c>
      <c r="K287" s="23">
        <f t="shared" si="108"/>
        <v>0</v>
      </c>
      <c r="L287" s="23" t="str">
        <f t="shared" si="109"/>
        <v/>
      </c>
      <c r="M287" s="23" t="e">
        <f t="shared" si="110"/>
        <v>#VALUE!</v>
      </c>
      <c r="N287" s="23" t="str">
        <f t="shared" si="111"/>
        <v/>
      </c>
      <c r="O287" s="23" t="e">
        <f t="shared" si="112"/>
        <v>#VALUE!</v>
      </c>
      <c r="P287" s="23" t="e">
        <f t="shared" si="103"/>
        <v>#VALUE!</v>
      </c>
      <c r="Q287" s="23" t="e">
        <f t="shared" si="113"/>
        <v>#VALUE!</v>
      </c>
      <c r="R287" s="23">
        <f t="shared" si="116"/>
        <v>277834.99428481318</v>
      </c>
      <c r="S287" s="25">
        <f t="shared" si="117"/>
        <v>2107.7137497468593</v>
      </c>
    </row>
    <row r="288" spans="1:19" x14ac:dyDescent="0.25">
      <c r="A288"/>
      <c r="B288"/>
      <c r="C288" s="22" t="str">
        <f t="shared" si="104"/>
        <v/>
      </c>
      <c r="D288" s="23" t="str">
        <f t="shared" si="105"/>
        <v/>
      </c>
      <c r="E288" s="23" t="str">
        <f t="shared" si="114"/>
        <v/>
      </c>
      <c r="F288" s="23" t="str">
        <f t="shared" si="115"/>
        <v/>
      </c>
      <c r="G288" s="52">
        <f t="shared" si="102"/>
        <v>0</v>
      </c>
      <c r="H288" s="23">
        <f t="shared" si="106"/>
        <v>0</v>
      </c>
      <c r="I288" s="24"/>
      <c r="J288" s="23" t="str">
        <f t="shared" si="107"/>
        <v/>
      </c>
      <c r="K288" s="23">
        <f t="shared" si="108"/>
        <v>0</v>
      </c>
      <c r="L288" s="23" t="str">
        <f t="shared" si="109"/>
        <v/>
      </c>
      <c r="M288" s="23" t="e">
        <f t="shared" si="110"/>
        <v>#VALUE!</v>
      </c>
      <c r="N288" s="23" t="str">
        <f t="shared" si="111"/>
        <v/>
      </c>
      <c r="O288" s="23" t="e">
        <f t="shared" si="112"/>
        <v>#VALUE!</v>
      </c>
      <c r="P288" s="23" t="e">
        <f t="shared" si="103"/>
        <v>#VALUE!</v>
      </c>
      <c r="Q288" s="23" t="e">
        <f t="shared" si="113"/>
        <v>#VALUE!</v>
      </c>
      <c r="R288" s="23">
        <f t="shared" si="116"/>
        <v>277834.99428481318</v>
      </c>
      <c r="S288" s="25">
        <f t="shared" si="117"/>
        <v>2107.7137497468593</v>
      </c>
    </row>
    <row r="289" spans="1:19" x14ac:dyDescent="0.25">
      <c r="A289"/>
      <c r="B289"/>
      <c r="C289" s="22" t="str">
        <f t="shared" si="104"/>
        <v/>
      </c>
      <c r="D289" s="23" t="str">
        <f t="shared" si="105"/>
        <v/>
      </c>
      <c r="E289" s="23" t="str">
        <f t="shared" si="114"/>
        <v/>
      </c>
      <c r="F289" s="23" t="str">
        <f t="shared" si="115"/>
        <v/>
      </c>
      <c r="G289" s="52">
        <f t="shared" si="102"/>
        <v>0</v>
      </c>
      <c r="H289" s="23">
        <f t="shared" si="106"/>
        <v>0</v>
      </c>
      <c r="I289" s="24"/>
      <c r="J289" s="23" t="str">
        <f t="shared" si="107"/>
        <v/>
      </c>
      <c r="K289" s="23">
        <f t="shared" si="108"/>
        <v>0</v>
      </c>
      <c r="L289" s="23" t="str">
        <f t="shared" si="109"/>
        <v/>
      </c>
      <c r="M289" s="23" t="e">
        <f t="shared" si="110"/>
        <v>#VALUE!</v>
      </c>
      <c r="N289" s="23" t="str">
        <f t="shared" si="111"/>
        <v/>
      </c>
      <c r="O289" s="23" t="e">
        <f t="shared" si="112"/>
        <v>#VALUE!</v>
      </c>
      <c r="P289" s="23" t="e">
        <f t="shared" si="103"/>
        <v>#VALUE!</v>
      </c>
      <c r="Q289" s="23" t="e">
        <f t="shared" si="113"/>
        <v>#VALUE!</v>
      </c>
      <c r="R289" s="23">
        <f t="shared" ref="R289:R300" si="118">$R$288+ $R$288*$M$8</f>
        <v>286170.04411335755</v>
      </c>
      <c r="S289" s="25">
        <f t="shared" ref="S289:S300" si="119">$S$288 + ($S$288 * $T$5)</f>
        <v>2170.9451622392653</v>
      </c>
    </row>
    <row r="290" spans="1:19" x14ac:dyDescent="0.25">
      <c r="A290"/>
      <c r="B290"/>
      <c r="C290" s="22" t="str">
        <f t="shared" si="104"/>
        <v/>
      </c>
      <c r="D290" s="23" t="str">
        <f t="shared" si="105"/>
        <v/>
      </c>
      <c r="E290" s="23" t="str">
        <f t="shared" si="114"/>
        <v/>
      </c>
      <c r="F290" s="23" t="str">
        <f t="shared" si="115"/>
        <v/>
      </c>
      <c r="G290" s="52">
        <f t="shared" si="102"/>
        <v>0</v>
      </c>
      <c r="H290" s="23">
        <f t="shared" si="106"/>
        <v>0</v>
      </c>
      <c r="I290" s="24"/>
      <c r="J290" s="23" t="str">
        <f t="shared" si="107"/>
        <v/>
      </c>
      <c r="K290" s="23">
        <f t="shared" si="108"/>
        <v>0</v>
      </c>
      <c r="L290" s="23" t="str">
        <f t="shared" si="109"/>
        <v/>
      </c>
      <c r="M290" s="23" t="e">
        <f t="shared" si="110"/>
        <v>#VALUE!</v>
      </c>
      <c r="N290" s="23" t="str">
        <f t="shared" si="111"/>
        <v/>
      </c>
      <c r="O290" s="23" t="e">
        <f t="shared" si="112"/>
        <v>#VALUE!</v>
      </c>
      <c r="P290" s="23" t="e">
        <f t="shared" si="103"/>
        <v>#VALUE!</v>
      </c>
      <c r="Q290" s="23" t="e">
        <f t="shared" si="113"/>
        <v>#VALUE!</v>
      </c>
      <c r="R290" s="23">
        <f t="shared" si="118"/>
        <v>286170.04411335755</v>
      </c>
      <c r="S290" s="25">
        <f t="shared" si="119"/>
        <v>2170.9451622392653</v>
      </c>
    </row>
    <row r="291" spans="1:19" x14ac:dyDescent="0.25">
      <c r="A291"/>
      <c r="B291"/>
      <c r="C291" s="22" t="str">
        <f t="shared" si="104"/>
        <v/>
      </c>
      <c r="D291" s="23" t="str">
        <f t="shared" si="105"/>
        <v/>
      </c>
      <c r="E291" s="23" t="str">
        <f t="shared" si="114"/>
        <v/>
      </c>
      <c r="F291" s="23" t="str">
        <f t="shared" si="115"/>
        <v/>
      </c>
      <c r="G291" s="52">
        <f t="shared" si="102"/>
        <v>0</v>
      </c>
      <c r="H291" s="23">
        <f t="shared" si="106"/>
        <v>0</v>
      </c>
      <c r="I291" s="24"/>
      <c r="J291" s="23" t="str">
        <f t="shared" si="107"/>
        <v/>
      </c>
      <c r="K291" s="23">
        <f t="shared" si="108"/>
        <v>0</v>
      </c>
      <c r="L291" s="23" t="str">
        <f t="shared" si="109"/>
        <v/>
      </c>
      <c r="M291" s="23" t="e">
        <f t="shared" si="110"/>
        <v>#VALUE!</v>
      </c>
      <c r="N291" s="23" t="str">
        <f t="shared" si="111"/>
        <v/>
      </c>
      <c r="O291" s="23" t="e">
        <f t="shared" si="112"/>
        <v>#VALUE!</v>
      </c>
      <c r="P291" s="23" t="e">
        <f t="shared" si="103"/>
        <v>#VALUE!</v>
      </c>
      <c r="Q291" s="23" t="e">
        <f t="shared" si="113"/>
        <v>#VALUE!</v>
      </c>
      <c r="R291" s="23">
        <f t="shared" si="118"/>
        <v>286170.04411335755</v>
      </c>
      <c r="S291" s="25">
        <f t="shared" si="119"/>
        <v>2170.9451622392653</v>
      </c>
    </row>
    <row r="292" spans="1:19" x14ac:dyDescent="0.25">
      <c r="A292"/>
      <c r="B292"/>
      <c r="C292" s="22" t="str">
        <f t="shared" si="104"/>
        <v/>
      </c>
      <c r="D292" s="23" t="str">
        <f t="shared" si="105"/>
        <v/>
      </c>
      <c r="E292" s="23" t="str">
        <f t="shared" si="114"/>
        <v/>
      </c>
      <c r="F292" s="23" t="str">
        <f t="shared" si="115"/>
        <v/>
      </c>
      <c r="G292" s="52">
        <f t="shared" si="102"/>
        <v>0</v>
      </c>
      <c r="H292" s="23">
        <f t="shared" si="106"/>
        <v>0</v>
      </c>
      <c r="I292" s="24"/>
      <c r="J292" s="23" t="str">
        <f t="shared" si="107"/>
        <v/>
      </c>
      <c r="K292" s="23">
        <f t="shared" si="108"/>
        <v>0</v>
      </c>
      <c r="L292" s="23" t="str">
        <f t="shared" si="109"/>
        <v/>
      </c>
      <c r="M292" s="23" t="e">
        <f t="shared" si="110"/>
        <v>#VALUE!</v>
      </c>
      <c r="N292" s="23" t="str">
        <f t="shared" si="111"/>
        <v/>
      </c>
      <c r="O292" s="23" t="e">
        <f t="shared" si="112"/>
        <v>#VALUE!</v>
      </c>
      <c r="P292" s="23" t="e">
        <f t="shared" si="103"/>
        <v>#VALUE!</v>
      </c>
      <c r="Q292" s="23" t="e">
        <f t="shared" si="113"/>
        <v>#VALUE!</v>
      </c>
      <c r="R292" s="23">
        <f t="shared" si="118"/>
        <v>286170.04411335755</v>
      </c>
      <c r="S292" s="25">
        <f t="shared" si="119"/>
        <v>2170.9451622392653</v>
      </c>
    </row>
    <row r="293" spans="1:19" x14ac:dyDescent="0.25">
      <c r="A293"/>
      <c r="B293"/>
      <c r="C293" s="22" t="str">
        <f t="shared" si="104"/>
        <v/>
      </c>
      <c r="D293" s="23" t="str">
        <f t="shared" si="105"/>
        <v/>
      </c>
      <c r="E293" s="23" t="str">
        <f t="shared" si="114"/>
        <v/>
      </c>
      <c r="F293" s="23" t="str">
        <f t="shared" si="115"/>
        <v/>
      </c>
      <c r="G293" s="52">
        <f t="shared" si="102"/>
        <v>0</v>
      </c>
      <c r="H293" s="23">
        <f t="shared" si="106"/>
        <v>0</v>
      </c>
      <c r="I293" s="24"/>
      <c r="J293" s="23" t="str">
        <f t="shared" si="107"/>
        <v/>
      </c>
      <c r="K293" s="23">
        <f t="shared" si="108"/>
        <v>0</v>
      </c>
      <c r="L293" s="23" t="str">
        <f t="shared" si="109"/>
        <v/>
      </c>
      <c r="M293" s="23" t="e">
        <f t="shared" si="110"/>
        <v>#VALUE!</v>
      </c>
      <c r="N293" s="23" t="str">
        <f t="shared" si="111"/>
        <v/>
      </c>
      <c r="O293" s="23" t="e">
        <f t="shared" si="112"/>
        <v>#VALUE!</v>
      </c>
      <c r="P293" s="23" t="e">
        <f t="shared" si="103"/>
        <v>#VALUE!</v>
      </c>
      <c r="Q293" s="23" t="e">
        <f t="shared" si="113"/>
        <v>#VALUE!</v>
      </c>
      <c r="R293" s="23">
        <f t="shared" si="118"/>
        <v>286170.04411335755</v>
      </c>
      <c r="S293" s="25">
        <f t="shared" si="119"/>
        <v>2170.9451622392653</v>
      </c>
    </row>
    <row r="294" spans="1:19" x14ac:dyDescent="0.25">
      <c r="A294"/>
      <c r="B294"/>
      <c r="C294" s="22" t="str">
        <f t="shared" si="104"/>
        <v/>
      </c>
      <c r="D294" s="23" t="str">
        <f t="shared" si="105"/>
        <v/>
      </c>
      <c r="E294" s="23" t="str">
        <f t="shared" si="114"/>
        <v/>
      </c>
      <c r="F294" s="23" t="str">
        <f t="shared" si="115"/>
        <v/>
      </c>
      <c r="G294" s="52">
        <f t="shared" si="102"/>
        <v>0</v>
      </c>
      <c r="H294" s="23">
        <f t="shared" si="106"/>
        <v>0</v>
      </c>
      <c r="I294" s="24"/>
      <c r="J294" s="23" t="str">
        <f t="shared" si="107"/>
        <v/>
      </c>
      <c r="K294" s="23">
        <f t="shared" si="108"/>
        <v>0</v>
      </c>
      <c r="L294" s="23" t="str">
        <f t="shared" si="109"/>
        <v/>
      </c>
      <c r="M294" s="23" t="e">
        <f t="shared" si="110"/>
        <v>#VALUE!</v>
      </c>
      <c r="N294" s="23" t="str">
        <f t="shared" si="111"/>
        <v/>
      </c>
      <c r="O294" s="23" t="e">
        <f t="shared" si="112"/>
        <v>#VALUE!</v>
      </c>
      <c r="P294" s="23" t="e">
        <f t="shared" si="103"/>
        <v>#VALUE!</v>
      </c>
      <c r="Q294" s="23" t="e">
        <f t="shared" si="113"/>
        <v>#VALUE!</v>
      </c>
      <c r="R294" s="23">
        <f t="shared" si="118"/>
        <v>286170.04411335755</v>
      </c>
      <c r="S294" s="25">
        <f t="shared" si="119"/>
        <v>2170.9451622392653</v>
      </c>
    </row>
    <row r="295" spans="1:19" x14ac:dyDescent="0.25">
      <c r="A295"/>
      <c r="B295"/>
      <c r="C295" s="22" t="str">
        <f t="shared" si="104"/>
        <v/>
      </c>
      <c r="D295" s="23" t="str">
        <f t="shared" si="105"/>
        <v/>
      </c>
      <c r="E295" s="23" t="str">
        <f t="shared" si="114"/>
        <v/>
      </c>
      <c r="F295" s="23" t="str">
        <f t="shared" si="115"/>
        <v/>
      </c>
      <c r="G295" s="52">
        <f t="shared" si="102"/>
        <v>0</v>
      </c>
      <c r="H295" s="23">
        <f t="shared" si="106"/>
        <v>0</v>
      </c>
      <c r="I295" s="24"/>
      <c r="J295" s="23" t="str">
        <f t="shared" si="107"/>
        <v/>
      </c>
      <c r="K295" s="23">
        <f t="shared" si="108"/>
        <v>0</v>
      </c>
      <c r="L295" s="23" t="str">
        <f t="shared" si="109"/>
        <v/>
      </c>
      <c r="M295" s="23" t="e">
        <f t="shared" si="110"/>
        <v>#VALUE!</v>
      </c>
      <c r="N295" s="23" t="str">
        <f t="shared" si="111"/>
        <v/>
      </c>
      <c r="O295" s="23" t="e">
        <f t="shared" si="112"/>
        <v>#VALUE!</v>
      </c>
      <c r="P295" s="23" t="e">
        <f t="shared" si="103"/>
        <v>#VALUE!</v>
      </c>
      <c r="Q295" s="23" t="e">
        <f t="shared" si="113"/>
        <v>#VALUE!</v>
      </c>
      <c r="R295" s="23">
        <f t="shared" si="118"/>
        <v>286170.04411335755</v>
      </c>
      <c r="S295" s="25">
        <f t="shared" si="119"/>
        <v>2170.9451622392653</v>
      </c>
    </row>
    <row r="296" spans="1:19" x14ac:dyDescent="0.25">
      <c r="A296"/>
      <c r="B296"/>
      <c r="C296" s="22" t="str">
        <f t="shared" si="104"/>
        <v/>
      </c>
      <c r="D296" s="23" t="str">
        <f t="shared" si="105"/>
        <v/>
      </c>
      <c r="E296" s="23" t="str">
        <f t="shared" si="114"/>
        <v/>
      </c>
      <c r="F296" s="23" t="str">
        <f t="shared" si="115"/>
        <v/>
      </c>
      <c r="G296" s="52">
        <f t="shared" si="102"/>
        <v>0</v>
      </c>
      <c r="H296" s="23">
        <f t="shared" si="106"/>
        <v>0</v>
      </c>
      <c r="I296" s="24"/>
      <c r="J296" s="23" t="str">
        <f t="shared" si="107"/>
        <v/>
      </c>
      <c r="K296" s="23">
        <f t="shared" si="108"/>
        <v>0</v>
      </c>
      <c r="L296" s="23" t="str">
        <f t="shared" si="109"/>
        <v/>
      </c>
      <c r="M296" s="23" t="e">
        <f t="shared" si="110"/>
        <v>#VALUE!</v>
      </c>
      <c r="N296" s="23" t="str">
        <f t="shared" si="111"/>
        <v/>
      </c>
      <c r="O296" s="23" t="e">
        <f t="shared" si="112"/>
        <v>#VALUE!</v>
      </c>
      <c r="P296" s="23" t="e">
        <f t="shared" si="103"/>
        <v>#VALUE!</v>
      </c>
      <c r="Q296" s="23" t="e">
        <f t="shared" si="113"/>
        <v>#VALUE!</v>
      </c>
      <c r="R296" s="23">
        <f t="shared" si="118"/>
        <v>286170.04411335755</v>
      </c>
      <c r="S296" s="25">
        <f t="shared" si="119"/>
        <v>2170.9451622392653</v>
      </c>
    </row>
    <row r="297" spans="1:19" x14ac:dyDescent="0.25">
      <c r="A297"/>
      <c r="B297"/>
      <c r="C297" s="22" t="str">
        <f t="shared" si="104"/>
        <v/>
      </c>
      <c r="D297" s="23" t="str">
        <f t="shared" si="105"/>
        <v/>
      </c>
      <c r="E297" s="23" t="str">
        <f t="shared" si="114"/>
        <v/>
      </c>
      <c r="F297" s="23" t="str">
        <f t="shared" si="115"/>
        <v/>
      </c>
      <c r="G297" s="52">
        <f t="shared" si="102"/>
        <v>0</v>
      </c>
      <c r="H297" s="23">
        <f t="shared" si="106"/>
        <v>0</v>
      </c>
      <c r="I297" s="24"/>
      <c r="J297" s="23" t="str">
        <f t="shared" si="107"/>
        <v/>
      </c>
      <c r="K297" s="23">
        <f t="shared" si="108"/>
        <v>0</v>
      </c>
      <c r="L297" s="23" t="str">
        <f t="shared" si="109"/>
        <v/>
      </c>
      <c r="M297" s="23" t="e">
        <f t="shared" si="110"/>
        <v>#VALUE!</v>
      </c>
      <c r="N297" s="23" t="str">
        <f t="shared" si="111"/>
        <v/>
      </c>
      <c r="O297" s="23" t="e">
        <f t="shared" si="112"/>
        <v>#VALUE!</v>
      </c>
      <c r="P297" s="23" t="e">
        <f t="shared" si="103"/>
        <v>#VALUE!</v>
      </c>
      <c r="Q297" s="23" t="e">
        <f t="shared" si="113"/>
        <v>#VALUE!</v>
      </c>
      <c r="R297" s="23">
        <f t="shared" si="118"/>
        <v>286170.04411335755</v>
      </c>
      <c r="S297" s="25">
        <f t="shared" si="119"/>
        <v>2170.9451622392653</v>
      </c>
    </row>
    <row r="298" spans="1:19" x14ac:dyDescent="0.25">
      <c r="A298"/>
      <c r="B298"/>
      <c r="C298" s="22" t="str">
        <f t="shared" si="104"/>
        <v/>
      </c>
      <c r="D298" s="23" t="str">
        <f t="shared" si="105"/>
        <v/>
      </c>
      <c r="E298" s="23" t="str">
        <f t="shared" si="114"/>
        <v/>
      </c>
      <c r="F298" s="23" t="str">
        <f t="shared" si="115"/>
        <v/>
      </c>
      <c r="G298" s="52">
        <f t="shared" si="102"/>
        <v>0</v>
      </c>
      <c r="H298" s="23">
        <f t="shared" si="106"/>
        <v>0</v>
      </c>
      <c r="I298" s="24"/>
      <c r="J298" s="23" t="str">
        <f t="shared" si="107"/>
        <v/>
      </c>
      <c r="K298" s="23">
        <f t="shared" si="108"/>
        <v>0</v>
      </c>
      <c r="L298" s="23" t="str">
        <f t="shared" si="109"/>
        <v/>
      </c>
      <c r="M298" s="23" t="e">
        <f t="shared" si="110"/>
        <v>#VALUE!</v>
      </c>
      <c r="N298" s="23" t="str">
        <f t="shared" si="111"/>
        <v/>
      </c>
      <c r="O298" s="23" t="e">
        <f t="shared" si="112"/>
        <v>#VALUE!</v>
      </c>
      <c r="P298" s="23" t="e">
        <f t="shared" si="103"/>
        <v>#VALUE!</v>
      </c>
      <c r="Q298" s="23" t="e">
        <f t="shared" si="113"/>
        <v>#VALUE!</v>
      </c>
      <c r="R298" s="23">
        <f t="shared" si="118"/>
        <v>286170.04411335755</v>
      </c>
      <c r="S298" s="25">
        <f t="shared" si="119"/>
        <v>2170.9451622392653</v>
      </c>
    </row>
    <row r="299" spans="1:19" x14ac:dyDescent="0.25">
      <c r="A299"/>
      <c r="B299"/>
      <c r="C299" s="22" t="str">
        <f t="shared" si="104"/>
        <v/>
      </c>
      <c r="D299" s="23" t="str">
        <f t="shared" si="105"/>
        <v/>
      </c>
      <c r="E299" s="23" t="str">
        <f t="shared" si="114"/>
        <v/>
      </c>
      <c r="F299" s="23" t="str">
        <f t="shared" si="115"/>
        <v/>
      </c>
      <c r="G299" s="52">
        <f t="shared" si="102"/>
        <v>0</v>
      </c>
      <c r="H299" s="23">
        <f t="shared" si="106"/>
        <v>0</v>
      </c>
      <c r="I299" s="24"/>
      <c r="J299" s="23" t="str">
        <f t="shared" si="107"/>
        <v/>
      </c>
      <c r="K299" s="23">
        <f t="shared" si="108"/>
        <v>0</v>
      </c>
      <c r="L299" s="23" t="str">
        <f t="shared" si="109"/>
        <v/>
      </c>
      <c r="M299" s="23" t="e">
        <f t="shared" si="110"/>
        <v>#VALUE!</v>
      </c>
      <c r="N299" s="23" t="str">
        <f t="shared" si="111"/>
        <v/>
      </c>
      <c r="O299" s="23" t="e">
        <f t="shared" si="112"/>
        <v>#VALUE!</v>
      </c>
      <c r="P299" s="23" t="e">
        <f t="shared" si="103"/>
        <v>#VALUE!</v>
      </c>
      <c r="Q299" s="23" t="e">
        <f t="shared" si="113"/>
        <v>#VALUE!</v>
      </c>
      <c r="R299" s="23">
        <f t="shared" si="118"/>
        <v>286170.04411335755</v>
      </c>
      <c r="S299" s="25">
        <f t="shared" si="119"/>
        <v>2170.9451622392653</v>
      </c>
    </row>
    <row r="300" spans="1:19" x14ac:dyDescent="0.25">
      <c r="A300"/>
      <c r="B300"/>
      <c r="C300" s="22" t="str">
        <f t="shared" si="104"/>
        <v/>
      </c>
      <c r="D300" s="23" t="str">
        <f t="shared" si="105"/>
        <v/>
      </c>
      <c r="E300" s="23" t="str">
        <f t="shared" si="114"/>
        <v/>
      </c>
      <c r="F300" s="23" t="str">
        <f t="shared" si="115"/>
        <v/>
      </c>
      <c r="G300" s="52">
        <f t="shared" si="102"/>
        <v>0</v>
      </c>
      <c r="H300" s="23">
        <f t="shared" si="106"/>
        <v>0</v>
      </c>
      <c r="I300" s="24"/>
      <c r="J300" s="23" t="str">
        <f t="shared" si="107"/>
        <v/>
      </c>
      <c r="K300" s="23">
        <f t="shared" si="108"/>
        <v>0</v>
      </c>
      <c r="L300" s="23" t="str">
        <f t="shared" si="109"/>
        <v/>
      </c>
      <c r="M300" s="23" t="e">
        <f t="shared" si="110"/>
        <v>#VALUE!</v>
      </c>
      <c r="N300" s="23" t="str">
        <f t="shared" si="111"/>
        <v/>
      </c>
      <c r="O300" s="23" t="e">
        <f t="shared" si="112"/>
        <v>#VALUE!</v>
      </c>
      <c r="P300" s="23" t="e">
        <f t="shared" si="103"/>
        <v>#VALUE!</v>
      </c>
      <c r="Q300" s="23" t="e">
        <f t="shared" si="113"/>
        <v>#VALUE!</v>
      </c>
      <c r="R300" s="23">
        <f t="shared" si="118"/>
        <v>286170.04411335755</v>
      </c>
      <c r="S300" s="25">
        <f t="shared" si="119"/>
        <v>2170.9451622392653</v>
      </c>
    </row>
    <row r="301" spans="1:19" x14ac:dyDescent="0.25">
      <c r="A301"/>
      <c r="B301"/>
      <c r="C301" s="22" t="str">
        <f t="shared" si="104"/>
        <v/>
      </c>
      <c r="D301" s="23" t="str">
        <f t="shared" si="105"/>
        <v/>
      </c>
      <c r="E301" s="23" t="str">
        <f t="shared" si="114"/>
        <v/>
      </c>
      <c r="F301" s="23" t="str">
        <f t="shared" si="115"/>
        <v/>
      </c>
      <c r="G301" s="52">
        <f t="shared" si="102"/>
        <v>0</v>
      </c>
      <c r="H301" s="23">
        <f t="shared" si="106"/>
        <v>0</v>
      </c>
      <c r="I301" s="24"/>
      <c r="J301" s="23" t="str">
        <f t="shared" si="107"/>
        <v/>
      </c>
      <c r="K301" s="23">
        <f t="shared" si="108"/>
        <v>0</v>
      </c>
      <c r="L301" s="23" t="str">
        <f t="shared" si="109"/>
        <v/>
      </c>
      <c r="M301" s="23" t="e">
        <f t="shared" si="110"/>
        <v>#VALUE!</v>
      </c>
      <c r="N301" s="23" t="str">
        <f t="shared" si="111"/>
        <v/>
      </c>
      <c r="O301" s="23" t="e">
        <f t="shared" si="112"/>
        <v>#VALUE!</v>
      </c>
      <c r="P301" s="23" t="e">
        <f t="shared" si="103"/>
        <v>#VALUE!</v>
      </c>
      <c r="Q301" s="23" t="e">
        <f t="shared" si="113"/>
        <v>#VALUE!</v>
      </c>
      <c r="R301" s="23">
        <f t="shared" ref="R301:R312" si="120">$R$300+ $R$300*$M$8</f>
        <v>294755.14543675829</v>
      </c>
      <c r="S301" s="25">
        <f t="shared" ref="S301:S312" si="121">$S$300 + ($S$300 * $T$5)</f>
        <v>2236.0735171064434</v>
      </c>
    </row>
    <row r="302" spans="1:19" x14ac:dyDescent="0.25">
      <c r="A302"/>
      <c r="B302"/>
      <c r="C302" s="22" t="str">
        <f t="shared" si="104"/>
        <v/>
      </c>
      <c r="D302" s="23" t="str">
        <f t="shared" si="105"/>
        <v/>
      </c>
      <c r="E302" s="23" t="str">
        <f t="shared" si="114"/>
        <v/>
      </c>
      <c r="F302" s="23" t="str">
        <f t="shared" si="115"/>
        <v/>
      </c>
      <c r="G302" s="52">
        <f t="shared" si="102"/>
        <v>0</v>
      </c>
      <c r="H302" s="23">
        <f t="shared" si="106"/>
        <v>0</v>
      </c>
      <c r="I302" s="24"/>
      <c r="J302" s="23" t="str">
        <f t="shared" si="107"/>
        <v/>
      </c>
      <c r="K302" s="23">
        <f t="shared" si="108"/>
        <v>0</v>
      </c>
      <c r="L302" s="23" t="str">
        <f t="shared" si="109"/>
        <v/>
      </c>
      <c r="M302" s="23" t="e">
        <f t="shared" si="110"/>
        <v>#VALUE!</v>
      </c>
      <c r="N302" s="23" t="str">
        <f t="shared" si="111"/>
        <v/>
      </c>
      <c r="O302" s="23" t="e">
        <f t="shared" si="112"/>
        <v>#VALUE!</v>
      </c>
      <c r="P302" s="23" t="e">
        <f t="shared" si="103"/>
        <v>#VALUE!</v>
      </c>
      <c r="Q302" s="23" t="e">
        <f t="shared" si="113"/>
        <v>#VALUE!</v>
      </c>
      <c r="R302" s="23">
        <f t="shared" si="120"/>
        <v>294755.14543675829</v>
      </c>
      <c r="S302" s="25">
        <f t="shared" si="121"/>
        <v>2236.0735171064434</v>
      </c>
    </row>
    <row r="303" spans="1:19" x14ac:dyDescent="0.25">
      <c r="A303"/>
      <c r="B303"/>
      <c r="C303" s="22" t="str">
        <f t="shared" si="104"/>
        <v/>
      </c>
      <c r="D303" s="23" t="str">
        <f t="shared" si="105"/>
        <v/>
      </c>
      <c r="E303" s="23" t="str">
        <f t="shared" si="114"/>
        <v/>
      </c>
      <c r="F303" s="23" t="str">
        <f t="shared" si="115"/>
        <v/>
      </c>
      <c r="G303" s="52">
        <f t="shared" si="102"/>
        <v>0</v>
      </c>
      <c r="H303" s="23">
        <f t="shared" si="106"/>
        <v>0</v>
      </c>
      <c r="I303" s="24"/>
      <c r="J303" s="23" t="str">
        <f t="shared" si="107"/>
        <v/>
      </c>
      <c r="K303" s="23">
        <f t="shared" si="108"/>
        <v>0</v>
      </c>
      <c r="L303" s="23" t="str">
        <f t="shared" si="109"/>
        <v/>
      </c>
      <c r="M303" s="23" t="e">
        <f t="shared" si="110"/>
        <v>#VALUE!</v>
      </c>
      <c r="N303" s="23" t="str">
        <f t="shared" si="111"/>
        <v/>
      </c>
      <c r="O303" s="23" t="e">
        <f t="shared" si="112"/>
        <v>#VALUE!</v>
      </c>
      <c r="P303" s="23" t="e">
        <f t="shared" si="103"/>
        <v>#VALUE!</v>
      </c>
      <c r="Q303" s="23" t="e">
        <f t="shared" si="113"/>
        <v>#VALUE!</v>
      </c>
      <c r="R303" s="23">
        <f t="shared" si="120"/>
        <v>294755.14543675829</v>
      </c>
      <c r="S303" s="25">
        <f t="shared" si="121"/>
        <v>2236.0735171064434</v>
      </c>
    </row>
    <row r="304" spans="1:19" x14ac:dyDescent="0.25">
      <c r="A304"/>
      <c r="B304"/>
      <c r="C304" s="22" t="str">
        <f t="shared" si="104"/>
        <v/>
      </c>
      <c r="D304" s="23" t="str">
        <f t="shared" si="105"/>
        <v/>
      </c>
      <c r="E304" s="23" t="str">
        <f t="shared" si="114"/>
        <v/>
      </c>
      <c r="F304" s="23" t="str">
        <f t="shared" si="115"/>
        <v/>
      </c>
      <c r="G304" s="52">
        <f t="shared" si="102"/>
        <v>0</v>
      </c>
      <c r="H304" s="23">
        <f t="shared" si="106"/>
        <v>0</v>
      </c>
      <c r="I304" s="24"/>
      <c r="J304" s="23" t="str">
        <f t="shared" si="107"/>
        <v/>
      </c>
      <c r="K304" s="23">
        <f t="shared" si="108"/>
        <v>0</v>
      </c>
      <c r="L304" s="23" t="str">
        <f t="shared" si="109"/>
        <v/>
      </c>
      <c r="M304" s="23" t="e">
        <f t="shared" si="110"/>
        <v>#VALUE!</v>
      </c>
      <c r="N304" s="23" t="str">
        <f t="shared" si="111"/>
        <v/>
      </c>
      <c r="O304" s="23" t="e">
        <f t="shared" si="112"/>
        <v>#VALUE!</v>
      </c>
      <c r="P304" s="23" t="e">
        <f t="shared" si="103"/>
        <v>#VALUE!</v>
      </c>
      <c r="Q304" s="23" t="e">
        <f t="shared" si="113"/>
        <v>#VALUE!</v>
      </c>
      <c r="R304" s="23">
        <f t="shared" si="120"/>
        <v>294755.14543675829</v>
      </c>
      <c r="S304" s="25">
        <f t="shared" si="121"/>
        <v>2236.0735171064434</v>
      </c>
    </row>
    <row r="305" spans="1:19" x14ac:dyDescent="0.25">
      <c r="A305"/>
      <c r="B305"/>
      <c r="C305" s="22" t="str">
        <f t="shared" si="104"/>
        <v/>
      </c>
      <c r="D305" s="23" t="str">
        <f t="shared" si="105"/>
        <v/>
      </c>
      <c r="E305" s="23" t="str">
        <f t="shared" si="114"/>
        <v/>
      </c>
      <c r="F305" s="23" t="str">
        <f t="shared" si="115"/>
        <v/>
      </c>
      <c r="G305" s="52">
        <f t="shared" si="102"/>
        <v>0</v>
      </c>
      <c r="H305" s="23">
        <f t="shared" si="106"/>
        <v>0</v>
      </c>
      <c r="I305" s="24"/>
      <c r="J305" s="23" t="str">
        <f t="shared" si="107"/>
        <v/>
      </c>
      <c r="K305" s="23">
        <f t="shared" si="108"/>
        <v>0</v>
      </c>
      <c r="L305" s="23" t="str">
        <f t="shared" si="109"/>
        <v/>
      </c>
      <c r="M305" s="23" t="e">
        <f t="shared" si="110"/>
        <v>#VALUE!</v>
      </c>
      <c r="N305" s="23" t="str">
        <f t="shared" si="111"/>
        <v/>
      </c>
      <c r="O305" s="23" t="e">
        <f t="shared" si="112"/>
        <v>#VALUE!</v>
      </c>
      <c r="P305" s="23" t="e">
        <f t="shared" si="103"/>
        <v>#VALUE!</v>
      </c>
      <c r="Q305" s="23" t="e">
        <f t="shared" si="113"/>
        <v>#VALUE!</v>
      </c>
      <c r="R305" s="23">
        <f t="shared" si="120"/>
        <v>294755.14543675829</v>
      </c>
      <c r="S305" s="25">
        <f t="shared" si="121"/>
        <v>2236.0735171064434</v>
      </c>
    </row>
    <row r="306" spans="1:19" x14ac:dyDescent="0.25">
      <c r="A306"/>
      <c r="B306"/>
      <c r="C306" s="22" t="str">
        <f t="shared" si="104"/>
        <v/>
      </c>
      <c r="D306" s="23" t="str">
        <f t="shared" si="105"/>
        <v/>
      </c>
      <c r="E306" s="23" t="str">
        <f t="shared" si="114"/>
        <v/>
      </c>
      <c r="F306" s="23" t="str">
        <f t="shared" si="115"/>
        <v/>
      </c>
      <c r="G306" s="52">
        <f t="shared" si="102"/>
        <v>0</v>
      </c>
      <c r="H306" s="23">
        <f t="shared" si="106"/>
        <v>0</v>
      </c>
      <c r="I306" s="24"/>
      <c r="J306" s="23" t="str">
        <f t="shared" si="107"/>
        <v/>
      </c>
      <c r="K306" s="23">
        <f t="shared" si="108"/>
        <v>0</v>
      </c>
      <c r="L306" s="23" t="str">
        <f t="shared" si="109"/>
        <v/>
      </c>
      <c r="M306" s="23" t="e">
        <f t="shared" si="110"/>
        <v>#VALUE!</v>
      </c>
      <c r="N306" s="23" t="str">
        <f t="shared" si="111"/>
        <v/>
      </c>
      <c r="O306" s="23" t="e">
        <f t="shared" si="112"/>
        <v>#VALUE!</v>
      </c>
      <c r="P306" s="23" t="e">
        <f t="shared" si="103"/>
        <v>#VALUE!</v>
      </c>
      <c r="Q306" s="23" t="e">
        <f t="shared" si="113"/>
        <v>#VALUE!</v>
      </c>
      <c r="R306" s="23">
        <f t="shared" si="120"/>
        <v>294755.14543675829</v>
      </c>
      <c r="S306" s="25">
        <f t="shared" si="121"/>
        <v>2236.0735171064434</v>
      </c>
    </row>
    <row r="307" spans="1:19" x14ac:dyDescent="0.25">
      <c r="A307"/>
      <c r="B307"/>
      <c r="C307" s="22" t="str">
        <f t="shared" si="104"/>
        <v/>
      </c>
      <c r="D307" s="23" t="str">
        <f t="shared" si="105"/>
        <v/>
      </c>
      <c r="E307" s="23" t="str">
        <f t="shared" si="114"/>
        <v/>
      </c>
      <c r="F307" s="23" t="str">
        <f t="shared" si="115"/>
        <v/>
      </c>
      <c r="G307" s="52">
        <f t="shared" si="102"/>
        <v>0</v>
      </c>
      <c r="H307" s="23">
        <f t="shared" si="106"/>
        <v>0</v>
      </c>
      <c r="I307" s="24"/>
      <c r="J307" s="23" t="str">
        <f t="shared" si="107"/>
        <v/>
      </c>
      <c r="K307" s="23">
        <f t="shared" si="108"/>
        <v>0</v>
      </c>
      <c r="L307" s="23" t="str">
        <f t="shared" si="109"/>
        <v/>
      </c>
      <c r="M307" s="23" t="e">
        <f t="shared" si="110"/>
        <v>#VALUE!</v>
      </c>
      <c r="N307" s="23" t="str">
        <f t="shared" si="111"/>
        <v/>
      </c>
      <c r="O307" s="23" t="e">
        <f t="shared" si="112"/>
        <v>#VALUE!</v>
      </c>
      <c r="P307" s="23" t="e">
        <f t="shared" si="103"/>
        <v>#VALUE!</v>
      </c>
      <c r="Q307" s="23" t="e">
        <f t="shared" si="113"/>
        <v>#VALUE!</v>
      </c>
      <c r="R307" s="23">
        <f t="shared" si="120"/>
        <v>294755.14543675829</v>
      </c>
      <c r="S307" s="25">
        <f t="shared" si="121"/>
        <v>2236.0735171064434</v>
      </c>
    </row>
    <row r="308" spans="1:19" x14ac:dyDescent="0.25">
      <c r="A308"/>
      <c r="B308"/>
      <c r="C308" s="22" t="str">
        <f t="shared" si="104"/>
        <v/>
      </c>
      <c r="D308" s="23" t="str">
        <f t="shared" si="105"/>
        <v/>
      </c>
      <c r="E308" s="23" t="str">
        <f t="shared" si="114"/>
        <v/>
      </c>
      <c r="F308" s="23" t="str">
        <f t="shared" si="115"/>
        <v/>
      </c>
      <c r="G308" s="52">
        <f t="shared" si="102"/>
        <v>0</v>
      </c>
      <c r="H308" s="23">
        <f t="shared" si="106"/>
        <v>0</v>
      </c>
      <c r="I308" s="24"/>
      <c r="J308" s="23" t="str">
        <f t="shared" si="107"/>
        <v/>
      </c>
      <c r="K308" s="23">
        <f t="shared" si="108"/>
        <v>0</v>
      </c>
      <c r="L308" s="23" t="str">
        <f t="shared" si="109"/>
        <v/>
      </c>
      <c r="M308" s="23" t="e">
        <f t="shared" si="110"/>
        <v>#VALUE!</v>
      </c>
      <c r="N308" s="23" t="str">
        <f t="shared" si="111"/>
        <v/>
      </c>
      <c r="O308" s="23" t="e">
        <f t="shared" si="112"/>
        <v>#VALUE!</v>
      </c>
      <c r="P308" s="23" t="e">
        <f t="shared" si="103"/>
        <v>#VALUE!</v>
      </c>
      <c r="Q308" s="23" t="e">
        <f t="shared" si="113"/>
        <v>#VALUE!</v>
      </c>
      <c r="R308" s="23">
        <f t="shared" si="120"/>
        <v>294755.14543675829</v>
      </c>
      <c r="S308" s="25">
        <f t="shared" si="121"/>
        <v>2236.0735171064434</v>
      </c>
    </row>
    <row r="309" spans="1:19" x14ac:dyDescent="0.25">
      <c r="A309"/>
      <c r="B309"/>
      <c r="C309" s="22" t="str">
        <f t="shared" si="104"/>
        <v/>
      </c>
      <c r="D309" s="23" t="str">
        <f t="shared" si="105"/>
        <v/>
      </c>
      <c r="E309" s="23" t="str">
        <f t="shared" si="114"/>
        <v/>
      </c>
      <c r="F309" s="23" t="str">
        <f t="shared" si="115"/>
        <v/>
      </c>
      <c r="G309" s="52">
        <f t="shared" si="102"/>
        <v>0</v>
      </c>
      <c r="H309" s="23">
        <f t="shared" si="106"/>
        <v>0</v>
      </c>
      <c r="I309" s="24"/>
      <c r="J309" s="23" t="str">
        <f t="shared" si="107"/>
        <v/>
      </c>
      <c r="K309" s="23">
        <f t="shared" si="108"/>
        <v>0</v>
      </c>
      <c r="L309" s="23" t="str">
        <f t="shared" si="109"/>
        <v/>
      </c>
      <c r="M309" s="23" t="e">
        <f t="shared" si="110"/>
        <v>#VALUE!</v>
      </c>
      <c r="N309" s="23" t="str">
        <f t="shared" si="111"/>
        <v/>
      </c>
      <c r="O309" s="23" t="e">
        <f t="shared" si="112"/>
        <v>#VALUE!</v>
      </c>
      <c r="P309" s="23" t="e">
        <f t="shared" si="103"/>
        <v>#VALUE!</v>
      </c>
      <c r="Q309" s="23" t="e">
        <f t="shared" si="113"/>
        <v>#VALUE!</v>
      </c>
      <c r="R309" s="23">
        <f t="shared" si="120"/>
        <v>294755.14543675829</v>
      </c>
      <c r="S309" s="25">
        <f t="shared" si="121"/>
        <v>2236.0735171064434</v>
      </c>
    </row>
    <row r="310" spans="1:19" x14ac:dyDescent="0.25">
      <c r="A310"/>
      <c r="B310"/>
      <c r="C310" s="22" t="str">
        <f t="shared" si="104"/>
        <v/>
      </c>
      <c r="D310" s="23" t="str">
        <f t="shared" si="105"/>
        <v/>
      </c>
      <c r="E310" s="23" t="str">
        <f t="shared" si="114"/>
        <v/>
      </c>
      <c r="F310" s="23" t="str">
        <f t="shared" si="115"/>
        <v/>
      </c>
      <c r="G310" s="52">
        <f t="shared" si="102"/>
        <v>0</v>
      </c>
      <c r="H310" s="23">
        <f t="shared" si="106"/>
        <v>0</v>
      </c>
      <c r="I310" s="24"/>
      <c r="J310" s="23" t="str">
        <f t="shared" si="107"/>
        <v/>
      </c>
      <c r="K310" s="23">
        <f t="shared" si="108"/>
        <v>0</v>
      </c>
      <c r="L310" s="23" t="str">
        <f t="shared" si="109"/>
        <v/>
      </c>
      <c r="M310" s="23" t="e">
        <f t="shared" si="110"/>
        <v>#VALUE!</v>
      </c>
      <c r="N310" s="23" t="str">
        <f t="shared" si="111"/>
        <v/>
      </c>
      <c r="O310" s="23" t="e">
        <f t="shared" si="112"/>
        <v>#VALUE!</v>
      </c>
      <c r="P310" s="23" t="e">
        <f t="shared" si="103"/>
        <v>#VALUE!</v>
      </c>
      <c r="Q310" s="23" t="e">
        <f t="shared" si="113"/>
        <v>#VALUE!</v>
      </c>
      <c r="R310" s="23">
        <f t="shared" si="120"/>
        <v>294755.14543675829</v>
      </c>
      <c r="S310" s="25">
        <f t="shared" si="121"/>
        <v>2236.0735171064434</v>
      </c>
    </row>
    <row r="311" spans="1:19" x14ac:dyDescent="0.25">
      <c r="A311"/>
      <c r="B311"/>
      <c r="C311" s="22" t="str">
        <f t="shared" si="104"/>
        <v/>
      </c>
      <c r="D311" s="23" t="str">
        <f t="shared" si="105"/>
        <v/>
      </c>
      <c r="E311" s="23" t="str">
        <f t="shared" si="114"/>
        <v/>
      </c>
      <c r="F311" s="23" t="str">
        <f t="shared" si="115"/>
        <v/>
      </c>
      <c r="G311" s="52">
        <f t="shared" si="102"/>
        <v>0</v>
      </c>
      <c r="H311" s="23">
        <f t="shared" si="106"/>
        <v>0</v>
      </c>
      <c r="I311" s="24"/>
      <c r="J311" s="23" t="str">
        <f t="shared" si="107"/>
        <v/>
      </c>
      <c r="K311" s="23">
        <f t="shared" si="108"/>
        <v>0</v>
      </c>
      <c r="L311" s="23" t="str">
        <f t="shared" si="109"/>
        <v/>
      </c>
      <c r="M311" s="23" t="e">
        <f t="shared" si="110"/>
        <v>#VALUE!</v>
      </c>
      <c r="N311" s="23" t="str">
        <f t="shared" si="111"/>
        <v/>
      </c>
      <c r="O311" s="23" t="e">
        <f t="shared" si="112"/>
        <v>#VALUE!</v>
      </c>
      <c r="P311" s="23" t="e">
        <f t="shared" si="103"/>
        <v>#VALUE!</v>
      </c>
      <c r="Q311" s="23" t="e">
        <f t="shared" si="113"/>
        <v>#VALUE!</v>
      </c>
      <c r="R311" s="23">
        <f t="shared" si="120"/>
        <v>294755.14543675829</v>
      </c>
      <c r="S311" s="25">
        <f t="shared" si="121"/>
        <v>2236.0735171064434</v>
      </c>
    </row>
    <row r="312" spans="1:19" x14ac:dyDescent="0.25">
      <c r="A312"/>
      <c r="B312"/>
      <c r="C312" s="22" t="str">
        <f t="shared" si="104"/>
        <v/>
      </c>
      <c r="D312" s="23" t="str">
        <f t="shared" si="105"/>
        <v/>
      </c>
      <c r="E312" s="23" t="str">
        <f t="shared" si="114"/>
        <v/>
      </c>
      <c r="F312" s="23" t="str">
        <f t="shared" si="115"/>
        <v/>
      </c>
      <c r="G312" s="52">
        <f t="shared" si="102"/>
        <v>0</v>
      </c>
      <c r="H312" s="23">
        <f t="shared" si="106"/>
        <v>0</v>
      </c>
      <c r="I312" s="24"/>
      <c r="J312" s="23" t="str">
        <f t="shared" si="107"/>
        <v/>
      </c>
      <c r="K312" s="23">
        <f t="shared" si="108"/>
        <v>0</v>
      </c>
      <c r="L312" s="23" t="str">
        <f t="shared" si="109"/>
        <v/>
      </c>
      <c r="M312" s="23" t="e">
        <f t="shared" si="110"/>
        <v>#VALUE!</v>
      </c>
      <c r="N312" s="23" t="str">
        <f t="shared" si="111"/>
        <v/>
      </c>
      <c r="O312" s="23" t="e">
        <f t="shared" si="112"/>
        <v>#VALUE!</v>
      </c>
      <c r="P312" s="23" t="e">
        <f t="shared" si="103"/>
        <v>#VALUE!</v>
      </c>
      <c r="Q312" s="23" t="e">
        <f t="shared" si="113"/>
        <v>#VALUE!</v>
      </c>
      <c r="R312" s="23">
        <f t="shared" si="120"/>
        <v>294755.14543675829</v>
      </c>
      <c r="S312" s="25">
        <f t="shared" si="121"/>
        <v>2236.0735171064434</v>
      </c>
    </row>
    <row r="313" spans="1:19" x14ac:dyDescent="0.25">
      <c r="A313"/>
      <c r="B313"/>
      <c r="C313" s="22" t="str">
        <f t="shared" si="104"/>
        <v/>
      </c>
      <c r="D313" s="23" t="str">
        <f t="shared" si="105"/>
        <v/>
      </c>
      <c r="E313" s="23" t="str">
        <f t="shared" si="114"/>
        <v/>
      </c>
      <c r="F313" s="23" t="str">
        <f t="shared" si="115"/>
        <v/>
      </c>
      <c r="G313" s="52">
        <f t="shared" si="102"/>
        <v>0</v>
      </c>
      <c r="H313" s="23">
        <f t="shared" si="106"/>
        <v>0</v>
      </c>
      <c r="I313" s="24"/>
      <c r="J313" s="23" t="str">
        <f t="shared" si="107"/>
        <v/>
      </c>
      <c r="K313" s="23">
        <f t="shared" si="108"/>
        <v>0</v>
      </c>
      <c r="L313" s="23" t="str">
        <f t="shared" si="109"/>
        <v/>
      </c>
      <c r="M313" s="23" t="e">
        <f t="shared" si="110"/>
        <v>#VALUE!</v>
      </c>
      <c r="N313" s="23" t="str">
        <f t="shared" si="111"/>
        <v/>
      </c>
      <c r="O313" s="23" t="e">
        <f t="shared" si="112"/>
        <v>#VALUE!</v>
      </c>
      <c r="P313" s="23" t="e">
        <f t="shared" si="103"/>
        <v>#VALUE!</v>
      </c>
      <c r="Q313" s="23" t="e">
        <f t="shared" si="113"/>
        <v>#VALUE!</v>
      </c>
      <c r="R313" s="23">
        <f t="shared" ref="R313:R324" si="122">$R$312+ $R$312*$M$8</f>
        <v>303597.79979986104</v>
      </c>
      <c r="S313" s="25">
        <f t="shared" ref="S313:S324" si="123">$S$312 + ($S$312 * $T$5)</f>
        <v>2303.1557226196369</v>
      </c>
    </row>
    <row r="314" spans="1:19" x14ac:dyDescent="0.25">
      <c r="A314"/>
      <c r="B314"/>
      <c r="C314" s="22" t="str">
        <f t="shared" si="104"/>
        <v/>
      </c>
      <c r="D314" s="23" t="str">
        <f t="shared" si="105"/>
        <v/>
      </c>
      <c r="E314" s="23" t="str">
        <f t="shared" si="114"/>
        <v/>
      </c>
      <c r="F314" s="23" t="str">
        <f t="shared" si="115"/>
        <v/>
      </c>
      <c r="G314" s="52">
        <f t="shared" si="102"/>
        <v>0</v>
      </c>
      <c r="H314" s="23">
        <f t="shared" si="106"/>
        <v>0</v>
      </c>
      <c r="I314" s="24"/>
      <c r="J314" s="23" t="str">
        <f t="shared" si="107"/>
        <v/>
      </c>
      <c r="K314" s="23">
        <f t="shared" si="108"/>
        <v>0</v>
      </c>
      <c r="L314" s="23" t="str">
        <f t="shared" si="109"/>
        <v/>
      </c>
      <c r="M314" s="23" t="e">
        <f t="shared" si="110"/>
        <v>#VALUE!</v>
      </c>
      <c r="N314" s="23" t="str">
        <f t="shared" si="111"/>
        <v/>
      </c>
      <c r="O314" s="23" t="e">
        <f t="shared" si="112"/>
        <v>#VALUE!</v>
      </c>
      <c r="P314" s="23" t="e">
        <f t="shared" si="103"/>
        <v>#VALUE!</v>
      </c>
      <c r="Q314" s="23" t="e">
        <f t="shared" si="113"/>
        <v>#VALUE!</v>
      </c>
      <c r="R314" s="23">
        <f t="shared" si="122"/>
        <v>303597.79979986104</v>
      </c>
      <c r="S314" s="25">
        <f t="shared" si="123"/>
        <v>2303.1557226196369</v>
      </c>
    </row>
    <row r="315" spans="1:19" x14ac:dyDescent="0.25">
      <c r="A315"/>
      <c r="B315"/>
      <c r="C315" s="22" t="str">
        <f t="shared" si="104"/>
        <v/>
      </c>
      <c r="D315" s="23" t="str">
        <f t="shared" si="105"/>
        <v/>
      </c>
      <c r="E315" s="23" t="str">
        <f t="shared" si="114"/>
        <v/>
      </c>
      <c r="F315" s="23" t="str">
        <f t="shared" si="115"/>
        <v/>
      </c>
      <c r="G315" s="52">
        <f t="shared" si="102"/>
        <v>0</v>
      </c>
      <c r="H315" s="23">
        <f t="shared" si="106"/>
        <v>0</v>
      </c>
      <c r="I315" s="24"/>
      <c r="J315" s="23" t="str">
        <f t="shared" si="107"/>
        <v/>
      </c>
      <c r="K315" s="23">
        <f t="shared" si="108"/>
        <v>0</v>
      </c>
      <c r="L315" s="23" t="str">
        <f t="shared" si="109"/>
        <v/>
      </c>
      <c r="M315" s="23" t="e">
        <f t="shared" si="110"/>
        <v>#VALUE!</v>
      </c>
      <c r="N315" s="23" t="str">
        <f t="shared" si="111"/>
        <v/>
      </c>
      <c r="O315" s="23" t="e">
        <f t="shared" si="112"/>
        <v>#VALUE!</v>
      </c>
      <c r="P315" s="23" t="e">
        <f t="shared" si="103"/>
        <v>#VALUE!</v>
      </c>
      <c r="Q315" s="23" t="e">
        <f t="shared" si="113"/>
        <v>#VALUE!</v>
      </c>
      <c r="R315" s="23">
        <f t="shared" si="122"/>
        <v>303597.79979986104</v>
      </c>
      <c r="S315" s="25">
        <f t="shared" si="123"/>
        <v>2303.1557226196369</v>
      </c>
    </row>
    <row r="316" spans="1:19" x14ac:dyDescent="0.25">
      <c r="A316"/>
      <c r="B316"/>
      <c r="C316" s="22" t="str">
        <f t="shared" si="104"/>
        <v/>
      </c>
      <c r="D316" s="23" t="str">
        <f t="shared" si="105"/>
        <v/>
      </c>
      <c r="E316" s="23" t="str">
        <f t="shared" si="114"/>
        <v/>
      </c>
      <c r="F316" s="23" t="str">
        <f t="shared" si="115"/>
        <v/>
      </c>
      <c r="G316" s="52">
        <f t="shared" si="102"/>
        <v>0</v>
      </c>
      <c r="H316" s="23">
        <f t="shared" si="106"/>
        <v>0</v>
      </c>
      <c r="I316" s="24"/>
      <c r="J316" s="23" t="str">
        <f t="shared" si="107"/>
        <v/>
      </c>
      <c r="K316" s="23">
        <f t="shared" si="108"/>
        <v>0</v>
      </c>
      <c r="L316" s="23" t="str">
        <f t="shared" si="109"/>
        <v/>
      </c>
      <c r="M316" s="23" t="e">
        <f t="shared" si="110"/>
        <v>#VALUE!</v>
      </c>
      <c r="N316" s="23" t="str">
        <f t="shared" si="111"/>
        <v/>
      </c>
      <c r="O316" s="23" t="e">
        <f t="shared" si="112"/>
        <v>#VALUE!</v>
      </c>
      <c r="P316" s="23" t="e">
        <f t="shared" si="103"/>
        <v>#VALUE!</v>
      </c>
      <c r="Q316" s="23" t="e">
        <f t="shared" si="113"/>
        <v>#VALUE!</v>
      </c>
      <c r="R316" s="23">
        <f t="shared" si="122"/>
        <v>303597.79979986104</v>
      </c>
      <c r="S316" s="25">
        <f t="shared" si="123"/>
        <v>2303.1557226196369</v>
      </c>
    </row>
    <row r="317" spans="1:19" x14ac:dyDescent="0.25">
      <c r="A317"/>
      <c r="B317"/>
      <c r="C317" s="22" t="str">
        <f t="shared" si="104"/>
        <v/>
      </c>
      <c r="D317" s="23" t="str">
        <f t="shared" si="105"/>
        <v/>
      </c>
      <c r="E317" s="23" t="str">
        <f t="shared" si="114"/>
        <v/>
      </c>
      <c r="F317" s="23" t="str">
        <f t="shared" si="115"/>
        <v/>
      </c>
      <c r="G317" s="52">
        <f t="shared" si="102"/>
        <v>0</v>
      </c>
      <c r="H317" s="23">
        <f t="shared" si="106"/>
        <v>0</v>
      </c>
      <c r="I317" s="24"/>
      <c r="J317" s="23" t="str">
        <f t="shared" si="107"/>
        <v/>
      </c>
      <c r="K317" s="23">
        <f t="shared" si="108"/>
        <v>0</v>
      </c>
      <c r="L317" s="23" t="str">
        <f t="shared" si="109"/>
        <v/>
      </c>
      <c r="M317" s="23" t="e">
        <f t="shared" si="110"/>
        <v>#VALUE!</v>
      </c>
      <c r="N317" s="23" t="str">
        <f t="shared" si="111"/>
        <v/>
      </c>
      <c r="O317" s="23" t="e">
        <f t="shared" si="112"/>
        <v>#VALUE!</v>
      </c>
      <c r="P317" s="23" t="e">
        <f t="shared" si="103"/>
        <v>#VALUE!</v>
      </c>
      <c r="Q317" s="23" t="e">
        <f t="shared" si="113"/>
        <v>#VALUE!</v>
      </c>
      <c r="R317" s="23">
        <f t="shared" si="122"/>
        <v>303597.79979986104</v>
      </c>
      <c r="S317" s="25">
        <f t="shared" si="123"/>
        <v>2303.1557226196369</v>
      </c>
    </row>
    <row r="318" spans="1:19" x14ac:dyDescent="0.25">
      <c r="A318"/>
      <c r="B318"/>
      <c r="C318" s="22" t="str">
        <f t="shared" si="104"/>
        <v/>
      </c>
      <c r="D318" s="23" t="str">
        <f t="shared" si="105"/>
        <v/>
      </c>
      <c r="E318" s="23" t="str">
        <f t="shared" si="114"/>
        <v/>
      </c>
      <c r="F318" s="23" t="str">
        <f t="shared" si="115"/>
        <v/>
      </c>
      <c r="G318" s="52">
        <f t="shared" si="102"/>
        <v>0</v>
      </c>
      <c r="H318" s="23">
        <f t="shared" si="106"/>
        <v>0</v>
      </c>
      <c r="I318" s="24"/>
      <c r="J318" s="23" t="str">
        <f t="shared" si="107"/>
        <v/>
      </c>
      <c r="K318" s="23">
        <f t="shared" si="108"/>
        <v>0</v>
      </c>
      <c r="L318" s="23" t="str">
        <f t="shared" si="109"/>
        <v/>
      </c>
      <c r="M318" s="23" t="e">
        <f t="shared" si="110"/>
        <v>#VALUE!</v>
      </c>
      <c r="N318" s="23" t="str">
        <f t="shared" si="111"/>
        <v/>
      </c>
      <c r="O318" s="23" t="e">
        <f t="shared" si="112"/>
        <v>#VALUE!</v>
      </c>
      <c r="P318" s="23" t="e">
        <f t="shared" si="103"/>
        <v>#VALUE!</v>
      </c>
      <c r="Q318" s="23" t="e">
        <f t="shared" si="113"/>
        <v>#VALUE!</v>
      </c>
      <c r="R318" s="23">
        <f t="shared" si="122"/>
        <v>303597.79979986104</v>
      </c>
      <c r="S318" s="25">
        <f t="shared" si="123"/>
        <v>2303.1557226196369</v>
      </c>
    </row>
    <row r="319" spans="1:19" x14ac:dyDescent="0.25">
      <c r="A319"/>
      <c r="B319"/>
      <c r="C319" s="22" t="str">
        <f t="shared" si="104"/>
        <v/>
      </c>
      <c r="D319" s="23" t="str">
        <f t="shared" si="105"/>
        <v/>
      </c>
      <c r="E319" s="23" t="str">
        <f t="shared" si="114"/>
        <v/>
      </c>
      <c r="F319" s="23" t="str">
        <f t="shared" si="115"/>
        <v/>
      </c>
      <c r="G319" s="52">
        <f t="shared" si="102"/>
        <v>0</v>
      </c>
      <c r="H319" s="23">
        <f t="shared" si="106"/>
        <v>0</v>
      </c>
      <c r="I319" s="24"/>
      <c r="J319" s="23" t="str">
        <f t="shared" si="107"/>
        <v/>
      </c>
      <c r="K319" s="23">
        <f t="shared" si="108"/>
        <v>0</v>
      </c>
      <c r="L319" s="23" t="str">
        <f t="shared" si="109"/>
        <v/>
      </c>
      <c r="M319" s="23" t="e">
        <f t="shared" si="110"/>
        <v>#VALUE!</v>
      </c>
      <c r="N319" s="23" t="str">
        <f t="shared" si="111"/>
        <v/>
      </c>
      <c r="O319" s="23" t="e">
        <f t="shared" si="112"/>
        <v>#VALUE!</v>
      </c>
      <c r="P319" s="23" t="e">
        <f t="shared" si="103"/>
        <v>#VALUE!</v>
      </c>
      <c r="Q319" s="23" t="e">
        <f t="shared" si="113"/>
        <v>#VALUE!</v>
      </c>
      <c r="R319" s="23">
        <f t="shared" si="122"/>
        <v>303597.79979986104</v>
      </c>
      <c r="S319" s="25">
        <f t="shared" si="123"/>
        <v>2303.1557226196369</v>
      </c>
    </row>
    <row r="320" spans="1:19" x14ac:dyDescent="0.25">
      <c r="A320"/>
      <c r="B320"/>
      <c r="C320" s="22" t="str">
        <f t="shared" si="104"/>
        <v/>
      </c>
      <c r="D320" s="23" t="str">
        <f t="shared" si="105"/>
        <v/>
      </c>
      <c r="E320" s="23" t="str">
        <f t="shared" si="114"/>
        <v/>
      </c>
      <c r="F320" s="23" t="str">
        <f t="shared" si="115"/>
        <v/>
      </c>
      <c r="G320" s="52">
        <f t="shared" si="102"/>
        <v>0</v>
      </c>
      <c r="H320" s="23">
        <f t="shared" si="106"/>
        <v>0</v>
      </c>
      <c r="I320" s="24"/>
      <c r="J320" s="23" t="str">
        <f t="shared" si="107"/>
        <v/>
      </c>
      <c r="K320" s="23">
        <f t="shared" si="108"/>
        <v>0</v>
      </c>
      <c r="L320" s="23" t="str">
        <f t="shared" si="109"/>
        <v/>
      </c>
      <c r="M320" s="23" t="e">
        <f t="shared" si="110"/>
        <v>#VALUE!</v>
      </c>
      <c r="N320" s="23" t="str">
        <f t="shared" si="111"/>
        <v/>
      </c>
      <c r="O320" s="23" t="e">
        <f t="shared" si="112"/>
        <v>#VALUE!</v>
      </c>
      <c r="P320" s="23" t="e">
        <f t="shared" si="103"/>
        <v>#VALUE!</v>
      </c>
      <c r="Q320" s="23" t="e">
        <f t="shared" si="113"/>
        <v>#VALUE!</v>
      </c>
      <c r="R320" s="23">
        <f t="shared" si="122"/>
        <v>303597.79979986104</v>
      </c>
      <c r="S320" s="25">
        <f t="shared" si="123"/>
        <v>2303.1557226196369</v>
      </c>
    </row>
    <row r="321" spans="1:19" x14ac:dyDescent="0.25">
      <c r="A321"/>
      <c r="B321"/>
      <c r="C321" s="22" t="str">
        <f t="shared" si="104"/>
        <v/>
      </c>
      <c r="D321" s="23" t="str">
        <f t="shared" si="105"/>
        <v/>
      </c>
      <c r="E321" s="23" t="str">
        <f t="shared" si="114"/>
        <v/>
      </c>
      <c r="F321" s="23" t="str">
        <f t="shared" si="115"/>
        <v/>
      </c>
      <c r="G321" s="52">
        <f t="shared" si="102"/>
        <v>0</v>
      </c>
      <c r="H321" s="23">
        <f t="shared" si="106"/>
        <v>0</v>
      </c>
      <c r="I321" s="24"/>
      <c r="J321" s="23" t="str">
        <f t="shared" si="107"/>
        <v/>
      </c>
      <c r="K321" s="23">
        <f t="shared" si="108"/>
        <v>0</v>
      </c>
      <c r="L321" s="23" t="str">
        <f t="shared" si="109"/>
        <v/>
      </c>
      <c r="M321" s="23" t="e">
        <f t="shared" si="110"/>
        <v>#VALUE!</v>
      </c>
      <c r="N321" s="23" t="str">
        <f t="shared" si="111"/>
        <v/>
      </c>
      <c r="O321" s="23" t="e">
        <f t="shared" si="112"/>
        <v>#VALUE!</v>
      </c>
      <c r="P321" s="23" t="e">
        <f t="shared" si="103"/>
        <v>#VALUE!</v>
      </c>
      <c r="Q321" s="23" t="e">
        <f t="shared" si="113"/>
        <v>#VALUE!</v>
      </c>
      <c r="R321" s="23">
        <f t="shared" si="122"/>
        <v>303597.79979986104</v>
      </c>
      <c r="S321" s="25">
        <f t="shared" si="123"/>
        <v>2303.1557226196369</v>
      </c>
    </row>
    <row r="322" spans="1:19" x14ac:dyDescent="0.25">
      <c r="A322"/>
      <c r="B322"/>
      <c r="C322" s="22" t="str">
        <f t="shared" si="104"/>
        <v/>
      </c>
      <c r="D322" s="23" t="str">
        <f t="shared" si="105"/>
        <v/>
      </c>
      <c r="E322" s="23" t="str">
        <f t="shared" si="114"/>
        <v/>
      </c>
      <c r="F322" s="23" t="str">
        <f t="shared" si="115"/>
        <v/>
      </c>
      <c r="G322" s="52">
        <f t="shared" si="102"/>
        <v>0</v>
      </c>
      <c r="H322" s="23">
        <f t="shared" si="106"/>
        <v>0</v>
      </c>
      <c r="I322" s="24"/>
      <c r="J322" s="23" t="str">
        <f t="shared" si="107"/>
        <v/>
      </c>
      <c r="K322" s="23">
        <f t="shared" si="108"/>
        <v>0</v>
      </c>
      <c r="L322" s="23" t="str">
        <f t="shared" si="109"/>
        <v/>
      </c>
      <c r="M322" s="23" t="e">
        <f t="shared" si="110"/>
        <v>#VALUE!</v>
      </c>
      <c r="N322" s="23" t="str">
        <f t="shared" si="111"/>
        <v/>
      </c>
      <c r="O322" s="23" t="e">
        <f t="shared" si="112"/>
        <v>#VALUE!</v>
      </c>
      <c r="P322" s="23" t="e">
        <f t="shared" si="103"/>
        <v>#VALUE!</v>
      </c>
      <c r="Q322" s="23" t="e">
        <f t="shared" si="113"/>
        <v>#VALUE!</v>
      </c>
      <c r="R322" s="23">
        <f t="shared" si="122"/>
        <v>303597.79979986104</v>
      </c>
      <c r="S322" s="25">
        <f t="shared" si="123"/>
        <v>2303.1557226196369</v>
      </c>
    </row>
    <row r="323" spans="1:19" x14ac:dyDescent="0.25">
      <c r="A323"/>
      <c r="B323"/>
      <c r="C323" s="22" t="str">
        <f t="shared" si="104"/>
        <v/>
      </c>
      <c r="D323" s="23" t="str">
        <f t="shared" si="105"/>
        <v/>
      </c>
      <c r="E323" s="23" t="str">
        <f t="shared" si="114"/>
        <v/>
      </c>
      <c r="F323" s="23" t="str">
        <f t="shared" si="115"/>
        <v/>
      </c>
      <c r="G323" s="52">
        <f t="shared" si="102"/>
        <v>0</v>
      </c>
      <c r="H323" s="23">
        <f t="shared" si="106"/>
        <v>0</v>
      </c>
      <c r="I323" s="24"/>
      <c r="J323" s="23" t="str">
        <f t="shared" si="107"/>
        <v/>
      </c>
      <c r="K323" s="23">
        <f t="shared" si="108"/>
        <v>0</v>
      </c>
      <c r="L323" s="23" t="str">
        <f t="shared" si="109"/>
        <v/>
      </c>
      <c r="M323" s="23" t="e">
        <f t="shared" si="110"/>
        <v>#VALUE!</v>
      </c>
      <c r="N323" s="23" t="str">
        <f t="shared" si="111"/>
        <v/>
      </c>
      <c r="O323" s="23" t="e">
        <f t="shared" si="112"/>
        <v>#VALUE!</v>
      </c>
      <c r="P323" s="23" t="e">
        <f t="shared" si="103"/>
        <v>#VALUE!</v>
      </c>
      <c r="Q323" s="23" t="e">
        <f t="shared" si="113"/>
        <v>#VALUE!</v>
      </c>
      <c r="R323" s="23">
        <f t="shared" si="122"/>
        <v>303597.79979986104</v>
      </c>
      <c r="S323" s="25">
        <f t="shared" si="123"/>
        <v>2303.1557226196369</v>
      </c>
    </row>
    <row r="324" spans="1:19" x14ac:dyDescent="0.25">
      <c r="A324"/>
      <c r="B324"/>
      <c r="C324" s="22" t="str">
        <f t="shared" si="104"/>
        <v/>
      </c>
      <c r="D324" s="23" t="str">
        <f t="shared" si="105"/>
        <v/>
      </c>
      <c r="E324" s="23" t="str">
        <f t="shared" si="114"/>
        <v/>
      </c>
      <c r="F324" s="23" t="str">
        <f t="shared" si="115"/>
        <v/>
      </c>
      <c r="G324" s="52">
        <f t="shared" si="102"/>
        <v>0</v>
      </c>
      <c r="H324" s="23">
        <f t="shared" si="106"/>
        <v>0</v>
      </c>
      <c r="I324" s="24"/>
      <c r="J324" s="23" t="str">
        <f t="shared" si="107"/>
        <v/>
      </c>
      <c r="K324" s="23">
        <f t="shared" si="108"/>
        <v>0</v>
      </c>
      <c r="L324" s="23" t="str">
        <f t="shared" si="109"/>
        <v/>
      </c>
      <c r="M324" s="23" t="e">
        <f t="shared" si="110"/>
        <v>#VALUE!</v>
      </c>
      <c r="N324" s="23" t="str">
        <f t="shared" si="111"/>
        <v/>
      </c>
      <c r="O324" s="23" t="e">
        <f t="shared" si="112"/>
        <v>#VALUE!</v>
      </c>
      <c r="P324" s="23" t="e">
        <f t="shared" si="103"/>
        <v>#VALUE!</v>
      </c>
      <c r="Q324" s="23" t="e">
        <f t="shared" si="113"/>
        <v>#VALUE!</v>
      </c>
      <c r="R324" s="23">
        <f t="shared" si="122"/>
        <v>303597.79979986104</v>
      </c>
      <c r="S324" s="25">
        <f t="shared" si="123"/>
        <v>2303.1557226196369</v>
      </c>
    </row>
    <row r="325" spans="1:19" x14ac:dyDescent="0.25">
      <c r="A325"/>
      <c r="B325"/>
      <c r="C325" s="22" t="str">
        <f t="shared" si="104"/>
        <v/>
      </c>
      <c r="D325" s="23" t="str">
        <f t="shared" si="105"/>
        <v/>
      </c>
      <c r="E325" s="23" t="str">
        <f t="shared" si="114"/>
        <v/>
      </c>
      <c r="F325" s="23" t="str">
        <f t="shared" si="115"/>
        <v/>
      </c>
      <c r="G325" s="52">
        <f t="shared" si="102"/>
        <v>0</v>
      </c>
      <c r="H325" s="23">
        <f t="shared" si="106"/>
        <v>0</v>
      </c>
      <c r="I325" s="24"/>
      <c r="J325" s="23" t="str">
        <f t="shared" si="107"/>
        <v/>
      </c>
      <c r="K325" s="23">
        <f t="shared" si="108"/>
        <v>0</v>
      </c>
      <c r="L325" s="23" t="str">
        <f t="shared" si="109"/>
        <v/>
      </c>
      <c r="M325" s="23" t="e">
        <f t="shared" si="110"/>
        <v>#VALUE!</v>
      </c>
      <c r="N325" s="23" t="str">
        <f t="shared" si="111"/>
        <v/>
      </c>
      <c r="O325" s="23" t="e">
        <f t="shared" si="112"/>
        <v>#VALUE!</v>
      </c>
      <c r="P325" s="23" t="e">
        <f t="shared" si="103"/>
        <v>#VALUE!</v>
      </c>
      <c r="Q325" s="23" t="e">
        <f t="shared" si="113"/>
        <v>#VALUE!</v>
      </c>
      <c r="R325" s="23">
        <f t="shared" ref="R325:R336" si="124">$R$324+ $R$324*$M$8</f>
        <v>312705.73379385687</v>
      </c>
      <c r="S325" s="25">
        <f t="shared" ref="S325:S336" si="125">$S$324 + ($S$324 * $T$5)</f>
        <v>2372.2503942982262</v>
      </c>
    </row>
    <row r="326" spans="1:19" x14ac:dyDescent="0.25">
      <c r="A326"/>
      <c r="B326"/>
      <c r="C326" s="22" t="str">
        <f t="shared" si="104"/>
        <v/>
      </c>
      <c r="D326" s="23" t="str">
        <f t="shared" si="105"/>
        <v/>
      </c>
      <c r="E326" s="23" t="str">
        <f t="shared" si="114"/>
        <v/>
      </c>
      <c r="F326" s="23" t="str">
        <f t="shared" si="115"/>
        <v/>
      </c>
      <c r="G326" s="52">
        <f t="shared" si="102"/>
        <v>0</v>
      </c>
      <c r="H326" s="23">
        <f t="shared" si="106"/>
        <v>0</v>
      </c>
      <c r="I326" s="24"/>
      <c r="J326" s="23" t="str">
        <f t="shared" si="107"/>
        <v/>
      </c>
      <c r="K326" s="23">
        <f t="shared" si="108"/>
        <v>0</v>
      </c>
      <c r="L326" s="23" t="str">
        <f t="shared" si="109"/>
        <v/>
      </c>
      <c r="M326" s="23" t="e">
        <f t="shared" si="110"/>
        <v>#VALUE!</v>
      </c>
      <c r="N326" s="23" t="str">
        <f t="shared" si="111"/>
        <v/>
      </c>
      <c r="O326" s="23" t="e">
        <f t="shared" si="112"/>
        <v>#VALUE!</v>
      </c>
      <c r="P326" s="23" t="e">
        <f t="shared" si="103"/>
        <v>#VALUE!</v>
      </c>
      <c r="Q326" s="23" t="e">
        <f t="shared" si="113"/>
        <v>#VALUE!</v>
      </c>
      <c r="R326" s="23">
        <f t="shared" si="124"/>
        <v>312705.73379385687</v>
      </c>
      <c r="S326" s="25">
        <f t="shared" si="125"/>
        <v>2372.2503942982262</v>
      </c>
    </row>
    <row r="327" spans="1:19" x14ac:dyDescent="0.25">
      <c r="A327"/>
      <c r="B327"/>
      <c r="C327" s="22" t="str">
        <f t="shared" si="104"/>
        <v/>
      </c>
      <c r="D327" s="23" t="str">
        <f t="shared" si="105"/>
        <v/>
      </c>
      <c r="E327" s="23" t="str">
        <f t="shared" si="114"/>
        <v/>
      </c>
      <c r="F327" s="23" t="str">
        <f t="shared" si="115"/>
        <v/>
      </c>
      <c r="G327" s="52">
        <f t="shared" si="102"/>
        <v>0</v>
      </c>
      <c r="H327" s="23">
        <f t="shared" si="106"/>
        <v>0</v>
      </c>
      <c r="I327" s="24"/>
      <c r="J327" s="23" t="str">
        <f t="shared" si="107"/>
        <v/>
      </c>
      <c r="K327" s="23">
        <f t="shared" si="108"/>
        <v>0</v>
      </c>
      <c r="L327" s="23" t="str">
        <f t="shared" si="109"/>
        <v/>
      </c>
      <c r="M327" s="23" t="e">
        <f t="shared" si="110"/>
        <v>#VALUE!</v>
      </c>
      <c r="N327" s="23" t="str">
        <f t="shared" si="111"/>
        <v/>
      </c>
      <c r="O327" s="23" t="e">
        <f t="shared" si="112"/>
        <v>#VALUE!</v>
      </c>
      <c r="P327" s="23" t="e">
        <f t="shared" si="103"/>
        <v>#VALUE!</v>
      </c>
      <c r="Q327" s="23" t="e">
        <f t="shared" si="113"/>
        <v>#VALUE!</v>
      </c>
      <c r="R327" s="23">
        <f t="shared" si="124"/>
        <v>312705.73379385687</v>
      </c>
      <c r="S327" s="25">
        <f t="shared" si="125"/>
        <v>2372.2503942982262</v>
      </c>
    </row>
    <row r="328" spans="1:19" x14ac:dyDescent="0.25">
      <c r="A328"/>
      <c r="B328"/>
      <c r="C328" s="22" t="str">
        <f t="shared" si="104"/>
        <v/>
      </c>
      <c r="D328" s="23" t="str">
        <f t="shared" si="105"/>
        <v/>
      </c>
      <c r="E328" s="23" t="str">
        <f t="shared" si="114"/>
        <v/>
      </c>
      <c r="F328" s="23" t="str">
        <f t="shared" si="115"/>
        <v/>
      </c>
      <c r="G328" s="52">
        <f t="shared" si="102"/>
        <v>0</v>
      </c>
      <c r="H328" s="23">
        <f t="shared" si="106"/>
        <v>0</v>
      </c>
      <c r="I328" s="24"/>
      <c r="J328" s="23" t="str">
        <f t="shared" si="107"/>
        <v/>
      </c>
      <c r="K328" s="23">
        <f t="shared" si="108"/>
        <v>0</v>
      </c>
      <c r="L328" s="23" t="str">
        <f t="shared" si="109"/>
        <v/>
      </c>
      <c r="M328" s="23" t="e">
        <f t="shared" si="110"/>
        <v>#VALUE!</v>
      </c>
      <c r="N328" s="23" t="str">
        <f t="shared" si="111"/>
        <v/>
      </c>
      <c r="O328" s="23" t="e">
        <f t="shared" si="112"/>
        <v>#VALUE!</v>
      </c>
      <c r="P328" s="23" t="e">
        <f t="shared" si="103"/>
        <v>#VALUE!</v>
      </c>
      <c r="Q328" s="23" t="e">
        <f t="shared" si="113"/>
        <v>#VALUE!</v>
      </c>
      <c r="R328" s="23">
        <f t="shared" si="124"/>
        <v>312705.73379385687</v>
      </c>
      <c r="S328" s="25">
        <f t="shared" si="125"/>
        <v>2372.2503942982262</v>
      </c>
    </row>
    <row r="329" spans="1:19" x14ac:dyDescent="0.25">
      <c r="A329"/>
      <c r="B329"/>
      <c r="C329" s="22" t="str">
        <f t="shared" si="104"/>
        <v/>
      </c>
      <c r="D329" s="23" t="str">
        <f t="shared" si="105"/>
        <v/>
      </c>
      <c r="E329" s="23" t="str">
        <f t="shared" si="114"/>
        <v/>
      </c>
      <c r="F329" s="23" t="str">
        <f t="shared" si="115"/>
        <v/>
      </c>
      <c r="G329" s="52">
        <f t="shared" si="102"/>
        <v>0</v>
      </c>
      <c r="H329" s="23">
        <f t="shared" si="106"/>
        <v>0</v>
      </c>
      <c r="I329" s="24"/>
      <c r="J329" s="23" t="str">
        <f t="shared" si="107"/>
        <v/>
      </c>
      <c r="K329" s="23">
        <f t="shared" si="108"/>
        <v>0</v>
      </c>
      <c r="L329" s="23" t="str">
        <f t="shared" si="109"/>
        <v/>
      </c>
      <c r="M329" s="23" t="e">
        <f t="shared" si="110"/>
        <v>#VALUE!</v>
      </c>
      <c r="N329" s="23" t="str">
        <f t="shared" si="111"/>
        <v/>
      </c>
      <c r="O329" s="23" t="e">
        <f t="shared" si="112"/>
        <v>#VALUE!</v>
      </c>
      <c r="P329" s="23" t="e">
        <f t="shared" si="103"/>
        <v>#VALUE!</v>
      </c>
      <c r="Q329" s="23" t="e">
        <f t="shared" si="113"/>
        <v>#VALUE!</v>
      </c>
      <c r="R329" s="23">
        <f t="shared" si="124"/>
        <v>312705.73379385687</v>
      </c>
      <c r="S329" s="25">
        <f t="shared" si="125"/>
        <v>2372.2503942982262</v>
      </c>
    </row>
    <row r="330" spans="1:19" x14ac:dyDescent="0.25">
      <c r="A330"/>
      <c r="B330"/>
      <c r="C330" s="22" t="str">
        <f t="shared" si="104"/>
        <v/>
      </c>
      <c r="D330" s="23" t="str">
        <f t="shared" si="105"/>
        <v/>
      </c>
      <c r="E330" s="23" t="str">
        <f t="shared" si="114"/>
        <v/>
      </c>
      <c r="F330" s="23" t="str">
        <f t="shared" si="115"/>
        <v/>
      </c>
      <c r="G330" s="52">
        <f t="shared" si="102"/>
        <v>0</v>
      </c>
      <c r="H330" s="23">
        <f t="shared" si="106"/>
        <v>0</v>
      </c>
      <c r="I330" s="24"/>
      <c r="J330" s="23" t="str">
        <f t="shared" si="107"/>
        <v/>
      </c>
      <c r="K330" s="23">
        <f t="shared" si="108"/>
        <v>0</v>
      </c>
      <c r="L330" s="23" t="str">
        <f t="shared" si="109"/>
        <v/>
      </c>
      <c r="M330" s="23" t="e">
        <f t="shared" si="110"/>
        <v>#VALUE!</v>
      </c>
      <c r="N330" s="23" t="str">
        <f t="shared" si="111"/>
        <v/>
      </c>
      <c r="O330" s="23" t="e">
        <f t="shared" si="112"/>
        <v>#VALUE!</v>
      </c>
      <c r="P330" s="23" t="e">
        <f t="shared" si="103"/>
        <v>#VALUE!</v>
      </c>
      <c r="Q330" s="23" t="e">
        <f t="shared" si="113"/>
        <v>#VALUE!</v>
      </c>
      <c r="R330" s="23">
        <f t="shared" si="124"/>
        <v>312705.73379385687</v>
      </c>
      <c r="S330" s="25">
        <f t="shared" si="125"/>
        <v>2372.2503942982262</v>
      </c>
    </row>
    <row r="331" spans="1:19" x14ac:dyDescent="0.25">
      <c r="A331"/>
      <c r="B331"/>
      <c r="C331" s="22" t="str">
        <f t="shared" si="104"/>
        <v/>
      </c>
      <c r="D331" s="23" t="str">
        <f t="shared" si="105"/>
        <v/>
      </c>
      <c r="E331" s="23" t="str">
        <f t="shared" si="114"/>
        <v/>
      </c>
      <c r="F331" s="23" t="str">
        <f t="shared" si="115"/>
        <v/>
      </c>
      <c r="G331" s="52">
        <f t="shared" si="102"/>
        <v>0</v>
      </c>
      <c r="H331" s="23">
        <f t="shared" si="106"/>
        <v>0</v>
      </c>
      <c r="I331" s="24"/>
      <c r="J331" s="23" t="str">
        <f t="shared" si="107"/>
        <v/>
      </c>
      <c r="K331" s="23">
        <f t="shared" si="108"/>
        <v>0</v>
      </c>
      <c r="L331" s="23" t="str">
        <f t="shared" si="109"/>
        <v/>
      </c>
      <c r="M331" s="23" t="e">
        <f t="shared" si="110"/>
        <v>#VALUE!</v>
      </c>
      <c r="N331" s="23" t="str">
        <f t="shared" si="111"/>
        <v/>
      </c>
      <c r="O331" s="23" t="e">
        <f t="shared" si="112"/>
        <v>#VALUE!</v>
      </c>
      <c r="P331" s="23" t="e">
        <f t="shared" si="103"/>
        <v>#VALUE!</v>
      </c>
      <c r="Q331" s="23" t="e">
        <f t="shared" si="113"/>
        <v>#VALUE!</v>
      </c>
      <c r="R331" s="23">
        <f t="shared" si="124"/>
        <v>312705.73379385687</v>
      </c>
      <c r="S331" s="25">
        <f t="shared" si="125"/>
        <v>2372.2503942982262</v>
      </c>
    </row>
    <row r="332" spans="1:19" x14ac:dyDescent="0.25">
      <c r="A332"/>
      <c r="B332"/>
      <c r="C332" s="22" t="str">
        <f t="shared" si="104"/>
        <v/>
      </c>
      <c r="D332" s="23" t="str">
        <f t="shared" si="105"/>
        <v/>
      </c>
      <c r="E332" s="23" t="str">
        <f t="shared" si="114"/>
        <v/>
      </c>
      <c r="F332" s="23" t="str">
        <f t="shared" si="115"/>
        <v/>
      </c>
      <c r="G332" s="52">
        <f t="shared" si="102"/>
        <v>0</v>
      </c>
      <c r="H332" s="23">
        <f t="shared" si="106"/>
        <v>0</v>
      </c>
      <c r="I332" s="24"/>
      <c r="J332" s="23" t="str">
        <f t="shared" si="107"/>
        <v/>
      </c>
      <c r="K332" s="23">
        <f t="shared" si="108"/>
        <v>0</v>
      </c>
      <c r="L332" s="23" t="str">
        <f t="shared" si="109"/>
        <v/>
      </c>
      <c r="M332" s="23" t="e">
        <f t="shared" si="110"/>
        <v>#VALUE!</v>
      </c>
      <c r="N332" s="23" t="str">
        <f t="shared" si="111"/>
        <v/>
      </c>
      <c r="O332" s="23" t="e">
        <f t="shared" si="112"/>
        <v>#VALUE!</v>
      </c>
      <c r="P332" s="23" t="e">
        <f t="shared" si="103"/>
        <v>#VALUE!</v>
      </c>
      <c r="Q332" s="23" t="e">
        <f t="shared" si="113"/>
        <v>#VALUE!</v>
      </c>
      <c r="R332" s="23">
        <f t="shared" si="124"/>
        <v>312705.73379385687</v>
      </c>
      <c r="S332" s="25">
        <f t="shared" si="125"/>
        <v>2372.2503942982262</v>
      </c>
    </row>
    <row r="333" spans="1:19" x14ac:dyDescent="0.25">
      <c r="A333"/>
      <c r="B333"/>
      <c r="C333" s="22" t="str">
        <f t="shared" si="104"/>
        <v/>
      </c>
      <c r="D333" s="23" t="str">
        <f t="shared" si="105"/>
        <v/>
      </c>
      <c r="E333" s="23" t="str">
        <f t="shared" si="114"/>
        <v/>
      </c>
      <c r="F333" s="23" t="str">
        <f t="shared" si="115"/>
        <v/>
      </c>
      <c r="G333" s="52">
        <f t="shared" ref="G333:G396" si="126">+IF(C333="",0,$H$4)</f>
        <v>0</v>
      </c>
      <c r="H333" s="23">
        <f t="shared" si="106"/>
        <v>0</v>
      </c>
      <c r="I333" s="24"/>
      <c r="J333" s="23" t="str">
        <f t="shared" si="107"/>
        <v/>
      </c>
      <c r="K333" s="23">
        <f t="shared" si="108"/>
        <v>0</v>
      </c>
      <c r="L333" s="23" t="str">
        <f t="shared" si="109"/>
        <v/>
      </c>
      <c r="M333" s="23" t="e">
        <f t="shared" si="110"/>
        <v>#VALUE!</v>
      </c>
      <c r="N333" s="23" t="str">
        <f t="shared" si="111"/>
        <v/>
      </c>
      <c r="O333" s="23" t="e">
        <f t="shared" si="112"/>
        <v>#VALUE!</v>
      </c>
      <c r="P333" s="23" t="e">
        <f t="shared" ref="P333:P372" si="127">M333+N333-O333</f>
        <v>#VALUE!</v>
      </c>
      <c r="Q333" s="23" t="e">
        <f t="shared" si="113"/>
        <v>#VALUE!</v>
      </c>
      <c r="R333" s="23">
        <f t="shared" si="124"/>
        <v>312705.73379385687</v>
      </c>
      <c r="S333" s="25">
        <f t="shared" si="125"/>
        <v>2372.2503942982262</v>
      </c>
    </row>
    <row r="334" spans="1:19" x14ac:dyDescent="0.25">
      <c r="A334"/>
      <c r="B334"/>
      <c r="C334" s="22" t="str">
        <f t="shared" ref="C334:C397" si="128">+IF(L333&gt;1,IF(C333="","",C333+1),"")</f>
        <v/>
      </c>
      <c r="D334" s="23" t="str">
        <f t="shared" ref="D334:D397" si="129">+IF(C334="","",L333)</f>
        <v/>
      </c>
      <c r="E334" s="23" t="str">
        <f t="shared" si="114"/>
        <v/>
      </c>
      <c r="F334" s="23" t="str">
        <f t="shared" si="115"/>
        <v/>
      </c>
      <c r="G334" s="52">
        <f t="shared" si="126"/>
        <v>0</v>
      </c>
      <c r="H334" s="23">
        <f t="shared" ref="H334:H397" si="130">+IF(C334="",0,IF(D334&lt;$D$4*0.8,0,$H$5))</f>
        <v>0</v>
      </c>
      <c r="I334" s="24"/>
      <c r="J334" s="23" t="str">
        <f t="shared" ref="J334:J372" si="131">IF(C334="","",167/12)</f>
        <v/>
      </c>
      <c r="K334" s="23">
        <f t="shared" ref="K334:K397" si="132">+IF(C334="",0,F334+I334)</f>
        <v>0</v>
      </c>
      <c r="L334" s="23" t="str">
        <f t="shared" ref="L334:L397" si="133">+IF(C334="","",D334-K334)</f>
        <v/>
      </c>
      <c r="M334" s="23" t="e">
        <f t="shared" ref="M334:M372" si="134">J334+I334+H334+G334+F334+E334</f>
        <v>#VALUE!</v>
      </c>
      <c r="N334" s="23" t="str">
        <f t="shared" ref="N334:N372" si="135">IF(C334="","",$M$4)</f>
        <v/>
      </c>
      <c r="O334" s="23" t="e">
        <f t="shared" ref="O334:O372" si="136">(E334+G334)*0</f>
        <v>#VALUE!</v>
      </c>
      <c r="P334" s="23" t="e">
        <f t="shared" si="127"/>
        <v>#VALUE!</v>
      </c>
      <c r="Q334" s="23" t="e">
        <f t="shared" ref="Q334:Q372" si="137">P334-F334+N334</f>
        <v>#VALUE!</v>
      </c>
      <c r="R334" s="23">
        <f t="shared" si="124"/>
        <v>312705.73379385687</v>
      </c>
      <c r="S334" s="25">
        <f t="shared" si="125"/>
        <v>2372.2503942982262</v>
      </c>
    </row>
    <row r="335" spans="1:19" x14ac:dyDescent="0.25">
      <c r="A335"/>
      <c r="B335"/>
      <c r="C335" s="22" t="str">
        <f t="shared" si="128"/>
        <v/>
      </c>
      <c r="D335" s="23" t="str">
        <f t="shared" si="129"/>
        <v/>
      </c>
      <c r="E335" s="23" t="str">
        <f t="shared" si="114"/>
        <v/>
      </c>
      <c r="F335" s="23" t="str">
        <f t="shared" si="115"/>
        <v/>
      </c>
      <c r="G335" s="52">
        <f t="shared" si="126"/>
        <v>0</v>
      </c>
      <c r="H335" s="23">
        <f t="shared" si="130"/>
        <v>0</v>
      </c>
      <c r="I335" s="24"/>
      <c r="J335" s="23" t="str">
        <f t="shared" si="131"/>
        <v/>
      </c>
      <c r="K335" s="23">
        <f t="shared" si="132"/>
        <v>0</v>
      </c>
      <c r="L335" s="23" t="str">
        <f t="shared" si="133"/>
        <v/>
      </c>
      <c r="M335" s="23" t="e">
        <f t="shared" si="134"/>
        <v>#VALUE!</v>
      </c>
      <c r="N335" s="23" t="str">
        <f t="shared" si="135"/>
        <v/>
      </c>
      <c r="O335" s="23" t="e">
        <f t="shared" si="136"/>
        <v>#VALUE!</v>
      </c>
      <c r="P335" s="23" t="e">
        <f t="shared" si="127"/>
        <v>#VALUE!</v>
      </c>
      <c r="Q335" s="23" t="e">
        <f t="shared" si="137"/>
        <v>#VALUE!</v>
      </c>
      <c r="R335" s="23">
        <f t="shared" si="124"/>
        <v>312705.73379385687</v>
      </c>
      <c r="S335" s="25">
        <f t="shared" si="125"/>
        <v>2372.2503942982262</v>
      </c>
    </row>
    <row r="336" spans="1:19" x14ac:dyDescent="0.25">
      <c r="A336"/>
      <c r="B336"/>
      <c r="C336" s="22" t="str">
        <f t="shared" si="128"/>
        <v/>
      </c>
      <c r="D336" s="23" t="str">
        <f t="shared" si="129"/>
        <v/>
      </c>
      <c r="E336" s="23" t="str">
        <f t="shared" si="114"/>
        <v/>
      </c>
      <c r="F336" s="23" t="str">
        <f t="shared" si="115"/>
        <v/>
      </c>
      <c r="G336" s="52">
        <f t="shared" si="126"/>
        <v>0</v>
      </c>
      <c r="H336" s="23">
        <f t="shared" si="130"/>
        <v>0</v>
      </c>
      <c r="I336" s="24"/>
      <c r="J336" s="23" t="str">
        <f t="shared" si="131"/>
        <v/>
      </c>
      <c r="K336" s="23">
        <f t="shared" si="132"/>
        <v>0</v>
      </c>
      <c r="L336" s="23" t="str">
        <f t="shared" si="133"/>
        <v/>
      </c>
      <c r="M336" s="23" t="e">
        <f t="shared" si="134"/>
        <v>#VALUE!</v>
      </c>
      <c r="N336" s="23" t="str">
        <f t="shared" si="135"/>
        <v/>
      </c>
      <c r="O336" s="23" t="e">
        <f t="shared" si="136"/>
        <v>#VALUE!</v>
      </c>
      <c r="P336" s="23" t="e">
        <f t="shared" si="127"/>
        <v>#VALUE!</v>
      </c>
      <c r="Q336" s="23" t="e">
        <f t="shared" si="137"/>
        <v>#VALUE!</v>
      </c>
      <c r="R336" s="23">
        <f t="shared" si="124"/>
        <v>312705.73379385687</v>
      </c>
      <c r="S336" s="25">
        <f t="shared" si="125"/>
        <v>2372.2503942982262</v>
      </c>
    </row>
    <row r="337" spans="1:19" x14ac:dyDescent="0.25">
      <c r="A337"/>
      <c r="B337"/>
      <c r="C337" s="22" t="str">
        <f t="shared" si="128"/>
        <v/>
      </c>
      <c r="D337" s="23" t="str">
        <f t="shared" si="129"/>
        <v/>
      </c>
      <c r="E337" s="23" t="str">
        <f t="shared" ref="E337:E400" si="138">IF(C337="","",($D$5/12)*D337)</f>
        <v/>
      </c>
      <c r="F337" s="23" t="str">
        <f t="shared" si="115"/>
        <v/>
      </c>
      <c r="G337" s="52">
        <f t="shared" si="126"/>
        <v>0</v>
      </c>
      <c r="H337" s="23">
        <f t="shared" si="130"/>
        <v>0</v>
      </c>
      <c r="I337" s="24"/>
      <c r="J337" s="23" t="str">
        <f t="shared" si="131"/>
        <v/>
      </c>
      <c r="K337" s="23">
        <f t="shared" si="132"/>
        <v>0</v>
      </c>
      <c r="L337" s="23" t="str">
        <f t="shared" si="133"/>
        <v/>
      </c>
      <c r="M337" s="23" t="e">
        <f t="shared" si="134"/>
        <v>#VALUE!</v>
      </c>
      <c r="N337" s="23" t="str">
        <f t="shared" si="135"/>
        <v/>
      </c>
      <c r="O337" s="23" t="e">
        <f t="shared" si="136"/>
        <v>#VALUE!</v>
      </c>
      <c r="P337" s="23" t="e">
        <f t="shared" si="127"/>
        <v>#VALUE!</v>
      </c>
      <c r="Q337" s="23" t="e">
        <f t="shared" si="137"/>
        <v>#VALUE!</v>
      </c>
      <c r="R337" s="23">
        <f t="shared" ref="R337:R348" si="139">$R$336+ $R$336*$M$8</f>
        <v>322086.90580767259</v>
      </c>
      <c r="S337" s="25">
        <f t="shared" ref="S337:S348" si="140">$S$336 + ($S$336 * $T$5)</f>
        <v>2443.417906127173</v>
      </c>
    </row>
    <row r="338" spans="1:19" x14ac:dyDescent="0.25">
      <c r="A338"/>
      <c r="B338"/>
      <c r="C338" s="22" t="str">
        <f t="shared" si="128"/>
        <v/>
      </c>
      <c r="D338" s="23" t="str">
        <f t="shared" si="129"/>
        <v/>
      </c>
      <c r="E338" s="23" t="str">
        <f t="shared" si="138"/>
        <v/>
      </c>
      <c r="F338" s="23" t="str">
        <f t="shared" si="115"/>
        <v/>
      </c>
      <c r="G338" s="52">
        <f t="shared" si="126"/>
        <v>0</v>
      </c>
      <c r="H338" s="23">
        <f t="shared" si="130"/>
        <v>0</v>
      </c>
      <c r="I338" s="24"/>
      <c r="J338" s="23" t="str">
        <f t="shared" si="131"/>
        <v/>
      </c>
      <c r="K338" s="23">
        <f t="shared" si="132"/>
        <v>0</v>
      </c>
      <c r="L338" s="23" t="str">
        <f t="shared" si="133"/>
        <v/>
      </c>
      <c r="M338" s="23" t="e">
        <f t="shared" si="134"/>
        <v>#VALUE!</v>
      </c>
      <c r="N338" s="23" t="str">
        <f t="shared" si="135"/>
        <v/>
      </c>
      <c r="O338" s="23" t="e">
        <f t="shared" si="136"/>
        <v>#VALUE!</v>
      </c>
      <c r="P338" s="23" t="e">
        <f t="shared" si="127"/>
        <v>#VALUE!</v>
      </c>
      <c r="Q338" s="23" t="e">
        <f t="shared" si="137"/>
        <v>#VALUE!</v>
      </c>
      <c r="R338" s="23">
        <f t="shared" si="139"/>
        <v>322086.90580767259</v>
      </c>
      <c r="S338" s="25">
        <f t="shared" si="140"/>
        <v>2443.417906127173</v>
      </c>
    </row>
    <row r="339" spans="1:19" x14ac:dyDescent="0.25">
      <c r="A339"/>
      <c r="B339"/>
      <c r="C339" s="22" t="str">
        <f t="shared" si="128"/>
        <v/>
      </c>
      <c r="D339" s="23" t="str">
        <f t="shared" si="129"/>
        <v/>
      </c>
      <c r="E339" s="23" t="str">
        <f t="shared" si="138"/>
        <v/>
      </c>
      <c r="F339" s="23" t="str">
        <f t="shared" ref="F339:F402" si="141">IF(C339="","",$D$8-E339)</f>
        <v/>
      </c>
      <c r="G339" s="52">
        <f t="shared" si="126"/>
        <v>0</v>
      </c>
      <c r="H339" s="23">
        <f t="shared" si="130"/>
        <v>0</v>
      </c>
      <c r="I339" s="24"/>
      <c r="J339" s="23" t="str">
        <f t="shared" si="131"/>
        <v/>
      </c>
      <c r="K339" s="23">
        <f t="shared" si="132"/>
        <v>0</v>
      </c>
      <c r="L339" s="23" t="str">
        <f t="shared" si="133"/>
        <v/>
      </c>
      <c r="M339" s="23" t="e">
        <f t="shared" si="134"/>
        <v>#VALUE!</v>
      </c>
      <c r="N339" s="23" t="str">
        <f t="shared" si="135"/>
        <v/>
      </c>
      <c r="O339" s="23" t="e">
        <f t="shared" si="136"/>
        <v>#VALUE!</v>
      </c>
      <c r="P339" s="23" t="e">
        <f t="shared" si="127"/>
        <v>#VALUE!</v>
      </c>
      <c r="Q339" s="23" t="e">
        <f t="shared" si="137"/>
        <v>#VALUE!</v>
      </c>
      <c r="R339" s="23">
        <f t="shared" si="139"/>
        <v>322086.90580767259</v>
      </c>
      <c r="S339" s="25">
        <f t="shared" si="140"/>
        <v>2443.417906127173</v>
      </c>
    </row>
    <row r="340" spans="1:19" x14ac:dyDescent="0.25">
      <c r="A340"/>
      <c r="B340"/>
      <c r="C340" s="22" t="str">
        <f t="shared" si="128"/>
        <v/>
      </c>
      <c r="D340" s="23" t="str">
        <f t="shared" si="129"/>
        <v/>
      </c>
      <c r="E340" s="23" t="str">
        <f t="shared" si="138"/>
        <v/>
      </c>
      <c r="F340" s="23" t="str">
        <f t="shared" si="141"/>
        <v/>
      </c>
      <c r="G340" s="52">
        <f t="shared" si="126"/>
        <v>0</v>
      </c>
      <c r="H340" s="23">
        <f t="shared" si="130"/>
        <v>0</v>
      </c>
      <c r="I340" s="24"/>
      <c r="J340" s="23" t="str">
        <f t="shared" si="131"/>
        <v/>
      </c>
      <c r="K340" s="23">
        <f t="shared" si="132"/>
        <v>0</v>
      </c>
      <c r="L340" s="23" t="str">
        <f t="shared" si="133"/>
        <v/>
      </c>
      <c r="M340" s="23" t="e">
        <f t="shared" si="134"/>
        <v>#VALUE!</v>
      </c>
      <c r="N340" s="23" t="str">
        <f t="shared" si="135"/>
        <v/>
      </c>
      <c r="O340" s="23" t="e">
        <f t="shared" si="136"/>
        <v>#VALUE!</v>
      </c>
      <c r="P340" s="23" t="e">
        <f t="shared" si="127"/>
        <v>#VALUE!</v>
      </c>
      <c r="Q340" s="23" t="e">
        <f t="shared" si="137"/>
        <v>#VALUE!</v>
      </c>
      <c r="R340" s="23">
        <f t="shared" si="139"/>
        <v>322086.90580767259</v>
      </c>
      <c r="S340" s="25">
        <f t="shared" si="140"/>
        <v>2443.417906127173</v>
      </c>
    </row>
    <row r="341" spans="1:19" x14ac:dyDescent="0.25">
      <c r="A341"/>
      <c r="B341"/>
      <c r="C341" s="22" t="str">
        <f t="shared" si="128"/>
        <v/>
      </c>
      <c r="D341" s="23" t="str">
        <f t="shared" si="129"/>
        <v/>
      </c>
      <c r="E341" s="23" t="str">
        <f t="shared" si="138"/>
        <v/>
      </c>
      <c r="F341" s="23" t="str">
        <f t="shared" si="141"/>
        <v/>
      </c>
      <c r="G341" s="52">
        <f t="shared" si="126"/>
        <v>0</v>
      </c>
      <c r="H341" s="23">
        <f t="shared" si="130"/>
        <v>0</v>
      </c>
      <c r="I341" s="24"/>
      <c r="J341" s="23" t="str">
        <f t="shared" si="131"/>
        <v/>
      </c>
      <c r="K341" s="23">
        <f t="shared" si="132"/>
        <v>0</v>
      </c>
      <c r="L341" s="23" t="str">
        <f t="shared" si="133"/>
        <v/>
      </c>
      <c r="M341" s="23" t="e">
        <f t="shared" si="134"/>
        <v>#VALUE!</v>
      </c>
      <c r="N341" s="23" t="str">
        <f t="shared" si="135"/>
        <v/>
      </c>
      <c r="O341" s="23" t="e">
        <f t="shared" si="136"/>
        <v>#VALUE!</v>
      </c>
      <c r="P341" s="23" t="e">
        <f t="shared" si="127"/>
        <v>#VALUE!</v>
      </c>
      <c r="Q341" s="23" t="e">
        <f t="shared" si="137"/>
        <v>#VALUE!</v>
      </c>
      <c r="R341" s="23">
        <f t="shared" si="139"/>
        <v>322086.90580767259</v>
      </c>
      <c r="S341" s="25">
        <f t="shared" si="140"/>
        <v>2443.417906127173</v>
      </c>
    </row>
    <row r="342" spans="1:19" x14ac:dyDescent="0.25">
      <c r="A342"/>
      <c r="B342"/>
      <c r="C342" s="22" t="str">
        <f t="shared" si="128"/>
        <v/>
      </c>
      <c r="D342" s="23" t="str">
        <f t="shared" si="129"/>
        <v/>
      </c>
      <c r="E342" s="23" t="str">
        <f t="shared" si="138"/>
        <v/>
      </c>
      <c r="F342" s="23" t="str">
        <f t="shared" si="141"/>
        <v/>
      </c>
      <c r="G342" s="52">
        <f t="shared" si="126"/>
        <v>0</v>
      </c>
      <c r="H342" s="23">
        <f t="shared" si="130"/>
        <v>0</v>
      </c>
      <c r="I342" s="24"/>
      <c r="J342" s="23" t="str">
        <f t="shared" si="131"/>
        <v/>
      </c>
      <c r="K342" s="23">
        <f t="shared" si="132"/>
        <v>0</v>
      </c>
      <c r="L342" s="23" t="str">
        <f t="shared" si="133"/>
        <v/>
      </c>
      <c r="M342" s="23" t="e">
        <f t="shared" si="134"/>
        <v>#VALUE!</v>
      </c>
      <c r="N342" s="23" t="str">
        <f t="shared" si="135"/>
        <v/>
      </c>
      <c r="O342" s="23" t="e">
        <f t="shared" si="136"/>
        <v>#VALUE!</v>
      </c>
      <c r="P342" s="23" t="e">
        <f t="shared" si="127"/>
        <v>#VALUE!</v>
      </c>
      <c r="Q342" s="23" t="e">
        <f t="shared" si="137"/>
        <v>#VALUE!</v>
      </c>
      <c r="R342" s="23">
        <f t="shared" si="139"/>
        <v>322086.90580767259</v>
      </c>
      <c r="S342" s="25">
        <f t="shared" si="140"/>
        <v>2443.417906127173</v>
      </c>
    </row>
    <row r="343" spans="1:19" x14ac:dyDescent="0.25">
      <c r="A343"/>
      <c r="B343"/>
      <c r="C343" s="22" t="str">
        <f t="shared" si="128"/>
        <v/>
      </c>
      <c r="D343" s="23" t="str">
        <f t="shared" si="129"/>
        <v/>
      </c>
      <c r="E343" s="23" t="str">
        <f t="shared" si="138"/>
        <v/>
      </c>
      <c r="F343" s="23" t="str">
        <f t="shared" si="141"/>
        <v/>
      </c>
      <c r="G343" s="52">
        <f t="shared" si="126"/>
        <v>0</v>
      </c>
      <c r="H343" s="23">
        <f t="shared" si="130"/>
        <v>0</v>
      </c>
      <c r="I343" s="24"/>
      <c r="J343" s="23" t="str">
        <f t="shared" si="131"/>
        <v/>
      </c>
      <c r="K343" s="23">
        <f t="shared" si="132"/>
        <v>0</v>
      </c>
      <c r="L343" s="23" t="str">
        <f t="shared" si="133"/>
        <v/>
      </c>
      <c r="M343" s="23" t="e">
        <f t="shared" si="134"/>
        <v>#VALUE!</v>
      </c>
      <c r="N343" s="23" t="str">
        <f t="shared" si="135"/>
        <v/>
      </c>
      <c r="O343" s="23" t="e">
        <f t="shared" si="136"/>
        <v>#VALUE!</v>
      </c>
      <c r="P343" s="23" t="e">
        <f t="shared" si="127"/>
        <v>#VALUE!</v>
      </c>
      <c r="Q343" s="23" t="e">
        <f t="shared" si="137"/>
        <v>#VALUE!</v>
      </c>
      <c r="R343" s="23">
        <f t="shared" si="139"/>
        <v>322086.90580767259</v>
      </c>
      <c r="S343" s="25">
        <f t="shared" si="140"/>
        <v>2443.417906127173</v>
      </c>
    </row>
    <row r="344" spans="1:19" x14ac:dyDescent="0.25">
      <c r="A344"/>
      <c r="B344"/>
      <c r="C344" s="22" t="str">
        <f t="shared" si="128"/>
        <v/>
      </c>
      <c r="D344" s="23" t="str">
        <f t="shared" si="129"/>
        <v/>
      </c>
      <c r="E344" s="23" t="str">
        <f t="shared" si="138"/>
        <v/>
      </c>
      <c r="F344" s="23" t="str">
        <f t="shared" si="141"/>
        <v/>
      </c>
      <c r="G344" s="52">
        <f t="shared" si="126"/>
        <v>0</v>
      </c>
      <c r="H344" s="23">
        <f t="shared" si="130"/>
        <v>0</v>
      </c>
      <c r="I344" s="24"/>
      <c r="J344" s="23" t="str">
        <f t="shared" si="131"/>
        <v/>
      </c>
      <c r="K344" s="23">
        <f t="shared" si="132"/>
        <v>0</v>
      </c>
      <c r="L344" s="23" t="str">
        <f t="shared" si="133"/>
        <v/>
      </c>
      <c r="M344" s="23" t="e">
        <f t="shared" si="134"/>
        <v>#VALUE!</v>
      </c>
      <c r="N344" s="23" t="str">
        <f t="shared" si="135"/>
        <v/>
      </c>
      <c r="O344" s="23" t="e">
        <f t="shared" si="136"/>
        <v>#VALUE!</v>
      </c>
      <c r="P344" s="23" t="e">
        <f t="shared" si="127"/>
        <v>#VALUE!</v>
      </c>
      <c r="Q344" s="23" t="e">
        <f t="shared" si="137"/>
        <v>#VALUE!</v>
      </c>
      <c r="R344" s="23">
        <f t="shared" si="139"/>
        <v>322086.90580767259</v>
      </c>
      <c r="S344" s="25">
        <f t="shared" si="140"/>
        <v>2443.417906127173</v>
      </c>
    </row>
    <row r="345" spans="1:19" x14ac:dyDescent="0.25">
      <c r="A345"/>
      <c r="B345"/>
      <c r="C345" s="22" t="str">
        <f t="shared" si="128"/>
        <v/>
      </c>
      <c r="D345" s="23" t="str">
        <f t="shared" si="129"/>
        <v/>
      </c>
      <c r="E345" s="23" t="str">
        <f t="shared" si="138"/>
        <v/>
      </c>
      <c r="F345" s="23" t="str">
        <f t="shared" si="141"/>
        <v/>
      </c>
      <c r="G345" s="52">
        <f t="shared" si="126"/>
        <v>0</v>
      </c>
      <c r="H345" s="23">
        <f t="shared" si="130"/>
        <v>0</v>
      </c>
      <c r="I345" s="24"/>
      <c r="J345" s="23" t="str">
        <f t="shared" si="131"/>
        <v/>
      </c>
      <c r="K345" s="23">
        <f t="shared" si="132"/>
        <v>0</v>
      </c>
      <c r="L345" s="23" t="str">
        <f t="shared" si="133"/>
        <v/>
      </c>
      <c r="M345" s="23" t="e">
        <f t="shared" si="134"/>
        <v>#VALUE!</v>
      </c>
      <c r="N345" s="23" t="str">
        <f t="shared" si="135"/>
        <v/>
      </c>
      <c r="O345" s="23" t="e">
        <f t="shared" si="136"/>
        <v>#VALUE!</v>
      </c>
      <c r="P345" s="23" t="e">
        <f t="shared" si="127"/>
        <v>#VALUE!</v>
      </c>
      <c r="Q345" s="23" t="e">
        <f t="shared" si="137"/>
        <v>#VALUE!</v>
      </c>
      <c r="R345" s="23">
        <f t="shared" si="139"/>
        <v>322086.90580767259</v>
      </c>
      <c r="S345" s="25">
        <f t="shared" si="140"/>
        <v>2443.417906127173</v>
      </c>
    </row>
    <row r="346" spans="1:19" x14ac:dyDescent="0.25">
      <c r="A346"/>
      <c r="B346"/>
      <c r="C346" s="22" t="str">
        <f t="shared" si="128"/>
        <v/>
      </c>
      <c r="D346" s="23" t="str">
        <f t="shared" si="129"/>
        <v/>
      </c>
      <c r="E346" s="23" t="str">
        <f t="shared" si="138"/>
        <v/>
      </c>
      <c r="F346" s="23" t="str">
        <f t="shared" si="141"/>
        <v/>
      </c>
      <c r="G346" s="52">
        <f t="shared" si="126"/>
        <v>0</v>
      </c>
      <c r="H346" s="23">
        <f t="shared" si="130"/>
        <v>0</v>
      </c>
      <c r="I346" s="24"/>
      <c r="J346" s="23" t="str">
        <f t="shared" si="131"/>
        <v/>
      </c>
      <c r="K346" s="23">
        <f t="shared" si="132"/>
        <v>0</v>
      </c>
      <c r="L346" s="23" t="str">
        <f t="shared" si="133"/>
        <v/>
      </c>
      <c r="M346" s="23" t="e">
        <f t="shared" si="134"/>
        <v>#VALUE!</v>
      </c>
      <c r="N346" s="23" t="str">
        <f t="shared" si="135"/>
        <v/>
      </c>
      <c r="O346" s="23" t="e">
        <f t="shared" si="136"/>
        <v>#VALUE!</v>
      </c>
      <c r="P346" s="23" t="e">
        <f t="shared" si="127"/>
        <v>#VALUE!</v>
      </c>
      <c r="Q346" s="23" t="e">
        <f t="shared" si="137"/>
        <v>#VALUE!</v>
      </c>
      <c r="R346" s="23">
        <f t="shared" si="139"/>
        <v>322086.90580767259</v>
      </c>
      <c r="S346" s="25">
        <f t="shared" si="140"/>
        <v>2443.417906127173</v>
      </c>
    </row>
    <row r="347" spans="1:19" x14ac:dyDescent="0.25">
      <c r="A347"/>
      <c r="B347"/>
      <c r="C347" s="22" t="str">
        <f t="shared" si="128"/>
        <v/>
      </c>
      <c r="D347" s="23" t="str">
        <f t="shared" si="129"/>
        <v/>
      </c>
      <c r="E347" s="23" t="str">
        <f t="shared" si="138"/>
        <v/>
      </c>
      <c r="F347" s="23" t="str">
        <f t="shared" si="141"/>
        <v/>
      </c>
      <c r="G347" s="52">
        <f t="shared" si="126"/>
        <v>0</v>
      </c>
      <c r="H347" s="23">
        <f t="shared" si="130"/>
        <v>0</v>
      </c>
      <c r="I347" s="24"/>
      <c r="J347" s="23" t="str">
        <f t="shared" si="131"/>
        <v/>
      </c>
      <c r="K347" s="23">
        <f t="shared" si="132"/>
        <v>0</v>
      </c>
      <c r="L347" s="23" t="str">
        <f t="shared" si="133"/>
        <v/>
      </c>
      <c r="M347" s="23" t="e">
        <f t="shared" si="134"/>
        <v>#VALUE!</v>
      </c>
      <c r="N347" s="23" t="str">
        <f t="shared" si="135"/>
        <v/>
      </c>
      <c r="O347" s="23" t="e">
        <f t="shared" si="136"/>
        <v>#VALUE!</v>
      </c>
      <c r="P347" s="23" t="e">
        <f t="shared" si="127"/>
        <v>#VALUE!</v>
      </c>
      <c r="Q347" s="23" t="e">
        <f t="shared" si="137"/>
        <v>#VALUE!</v>
      </c>
      <c r="R347" s="23">
        <f t="shared" si="139"/>
        <v>322086.90580767259</v>
      </c>
      <c r="S347" s="25">
        <f t="shared" si="140"/>
        <v>2443.417906127173</v>
      </c>
    </row>
    <row r="348" spans="1:19" x14ac:dyDescent="0.25">
      <c r="A348"/>
      <c r="B348"/>
      <c r="C348" s="22" t="str">
        <f t="shared" si="128"/>
        <v/>
      </c>
      <c r="D348" s="23" t="str">
        <f t="shared" si="129"/>
        <v/>
      </c>
      <c r="E348" s="23" t="str">
        <f t="shared" si="138"/>
        <v/>
      </c>
      <c r="F348" s="23" t="str">
        <f t="shared" si="141"/>
        <v/>
      </c>
      <c r="G348" s="52">
        <f t="shared" si="126"/>
        <v>0</v>
      </c>
      <c r="H348" s="23">
        <f t="shared" si="130"/>
        <v>0</v>
      </c>
      <c r="I348" s="24"/>
      <c r="J348" s="23" t="str">
        <f t="shared" si="131"/>
        <v/>
      </c>
      <c r="K348" s="23">
        <f t="shared" si="132"/>
        <v>0</v>
      </c>
      <c r="L348" s="23" t="str">
        <f t="shared" si="133"/>
        <v/>
      </c>
      <c r="M348" s="23" t="e">
        <f t="shared" si="134"/>
        <v>#VALUE!</v>
      </c>
      <c r="N348" s="23" t="str">
        <f t="shared" si="135"/>
        <v/>
      </c>
      <c r="O348" s="23" t="e">
        <f t="shared" si="136"/>
        <v>#VALUE!</v>
      </c>
      <c r="P348" s="23" t="e">
        <f t="shared" si="127"/>
        <v>#VALUE!</v>
      </c>
      <c r="Q348" s="23" t="e">
        <f t="shared" si="137"/>
        <v>#VALUE!</v>
      </c>
      <c r="R348" s="23">
        <f t="shared" si="139"/>
        <v>322086.90580767259</v>
      </c>
      <c r="S348" s="25">
        <f t="shared" si="140"/>
        <v>2443.417906127173</v>
      </c>
    </row>
    <row r="349" spans="1:19" x14ac:dyDescent="0.25">
      <c r="A349"/>
      <c r="B349"/>
      <c r="C349" s="22" t="str">
        <f t="shared" si="128"/>
        <v/>
      </c>
      <c r="D349" s="23" t="str">
        <f t="shared" si="129"/>
        <v/>
      </c>
      <c r="E349" s="23" t="str">
        <f t="shared" si="138"/>
        <v/>
      </c>
      <c r="F349" s="23" t="str">
        <f t="shared" si="141"/>
        <v/>
      </c>
      <c r="G349" s="52">
        <f t="shared" si="126"/>
        <v>0</v>
      </c>
      <c r="H349" s="23">
        <f t="shared" si="130"/>
        <v>0</v>
      </c>
      <c r="I349" s="24"/>
      <c r="J349" s="23" t="str">
        <f t="shared" si="131"/>
        <v/>
      </c>
      <c r="K349" s="23">
        <f t="shared" si="132"/>
        <v>0</v>
      </c>
      <c r="L349" s="23" t="str">
        <f t="shared" si="133"/>
        <v/>
      </c>
      <c r="M349" s="23" t="e">
        <f t="shared" si="134"/>
        <v>#VALUE!</v>
      </c>
      <c r="N349" s="23" t="str">
        <f t="shared" si="135"/>
        <v/>
      </c>
      <c r="O349" s="23" t="e">
        <f t="shared" si="136"/>
        <v>#VALUE!</v>
      </c>
      <c r="P349" s="23" t="e">
        <f t="shared" si="127"/>
        <v>#VALUE!</v>
      </c>
      <c r="Q349" s="23" t="e">
        <f t="shared" si="137"/>
        <v>#VALUE!</v>
      </c>
      <c r="R349" s="23">
        <f t="shared" ref="R349:R360" si="142">$R$348+ $R$348*$M$8</f>
        <v>331749.51298190275</v>
      </c>
      <c r="S349" s="25">
        <f t="shared" ref="S349:S360" si="143">$S$348 + ($S$348 * $T$5)</f>
        <v>2516.7204433109882</v>
      </c>
    </row>
    <row r="350" spans="1:19" x14ac:dyDescent="0.25">
      <c r="A350"/>
      <c r="B350"/>
      <c r="C350" s="22" t="str">
        <f t="shared" si="128"/>
        <v/>
      </c>
      <c r="D350" s="23" t="str">
        <f t="shared" si="129"/>
        <v/>
      </c>
      <c r="E350" s="23" t="str">
        <f t="shared" si="138"/>
        <v/>
      </c>
      <c r="F350" s="23" t="str">
        <f t="shared" si="141"/>
        <v/>
      </c>
      <c r="G350" s="52">
        <f t="shared" si="126"/>
        <v>0</v>
      </c>
      <c r="H350" s="23">
        <f t="shared" si="130"/>
        <v>0</v>
      </c>
      <c r="I350" s="24"/>
      <c r="J350" s="23" t="str">
        <f t="shared" si="131"/>
        <v/>
      </c>
      <c r="K350" s="23">
        <f t="shared" si="132"/>
        <v>0</v>
      </c>
      <c r="L350" s="23" t="str">
        <f t="shared" si="133"/>
        <v/>
      </c>
      <c r="M350" s="23" t="e">
        <f t="shared" si="134"/>
        <v>#VALUE!</v>
      </c>
      <c r="N350" s="23" t="str">
        <f t="shared" si="135"/>
        <v/>
      </c>
      <c r="O350" s="23" t="e">
        <f t="shared" si="136"/>
        <v>#VALUE!</v>
      </c>
      <c r="P350" s="23" t="e">
        <f t="shared" si="127"/>
        <v>#VALUE!</v>
      </c>
      <c r="Q350" s="23" t="e">
        <f t="shared" si="137"/>
        <v>#VALUE!</v>
      </c>
      <c r="R350" s="23">
        <f t="shared" si="142"/>
        <v>331749.51298190275</v>
      </c>
      <c r="S350" s="25">
        <f t="shared" si="143"/>
        <v>2516.7204433109882</v>
      </c>
    </row>
    <row r="351" spans="1:19" x14ac:dyDescent="0.25">
      <c r="A351"/>
      <c r="B351"/>
      <c r="C351" s="22" t="str">
        <f t="shared" si="128"/>
        <v/>
      </c>
      <c r="D351" s="23" t="str">
        <f t="shared" si="129"/>
        <v/>
      </c>
      <c r="E351" s="23" t="str">
        <f t="shared" si="138"/>
        <v/>
      </c>
      <c r="F351" s="23" t="str">
        <f t="shared" si="141"/>
        <v/>
      </c>
      <c r="G351" s="52">
        <f t="shared" si="126"/>
        <v>0</v>
      </c>
      <c r="H351" s="23">
        <f t="shared" si="130"/>
        <v>0</v>
      </c>
      <c r="I351" s="24"/>
      <c r="J351" s="23" t="str">
        <f t="shared" si="131"/>
        <v/>
      </c>
      <c r="K351" s="23">
        <f t="shared" si="132"/>
        <v>0</v>
      </c>
      <c r="L351" s="23" t="str">
        <f t="shared" si="133"/>
        <v/>
      </c>
      <c r="M351" s="23" t="e">
        <f t="shared" si="134"/>
        <v>#VALUE!</v>
      </c>
      <c r="N351" s="23" t="str">
        <f t="shared" si="135"/>
        <v/>
      </c>
      <c r="O351" s="23" t="e">
        <f t="shared" si="136"/>
        <v>#VALUE!</v>
      </c>
      <c r="P351" s="23" t="e">
        <f t="shared" si="127"/>
        <v>#VALUE!</v>
      </c>
      <c r="Q351" s="23" t="e">
        <f t="shared" si="137"/>
        <v>#VALUE!</v>
      </c>
      <c r="R351" s="23">
        <f t="shared" si="142"/>
        <v>331749.51298190275</v>
      </c>
      <c r="S351" s="25">
        <f t="shared" si="143"/>
        <v>2516.7204433109882</v>
      </c>
    </row>
    <row r="352" spans="1:19" x14ac:dyDescent="0.25">
      <c r="A352"/>
      <c r="B352"/>
      <c r="C352" s="22" t="str">
        <f t="shared" si="128"/>
        <v/>
      </c>
      <c r="D352" s="23" t="str">
        <f t="shared" si="129"/>
        <v/>
      </c>
      <c r="E352" s="23" t="str">
        <f t="shared" si="138"/>
        <v/>
      </c>
      <c r="F352" s="23" t="str">
        <f t="shared" si="141"/>
        <v/>
      </c>
      <c r="G352" s="52">
        <f t="shared" si="126"/>
        <v>0</v>
      </c>
      <c r="H352" s="23">
        <f t="shared" si="130"/>
        <v>0</v>
      </c>
      <c r="I352" s="24"/>
      <c r="J352" s="23" t="str">
        <f t="shared" si="131"/>
        <v/>
      </c>
      <c r="K352" s="23">
        <f t="shared" si="132"/>
        <v>0</v>
      </c>
      <c r="L352" s="23" t="str">
        <f t="shared" si="133"/>
        <v/>
      </c>
      <c r="M352" s="23" t="e">
        <f t="shared" si="134"/>
        <v>#VALUE!</v>
      </c>
      <c r="N352" s="23" t="str">
        <f t="shared" si="135"/>
        <v/>
      </c>
      <c r="O352" s="23" t="e">
        <f t="shared" si="136"/>
        <v>#VALUE!</v>
      </c>
      <c r="P352" s="23" t="e">
        <f t="shared" si="127"/>
        <v>#VALUE!</v>
      </c>
      <c r="Q352" s="23" t="e">
        <f t="shared" si="137"/>
        <v>#VALUE!</v>
      </c>
      <c r="R352" s="23">
        <f t="shared" si="142"/>
        <v>331749.51298190275</v>
      </c>
      <c r="S352" s="25">
        <f t="shared" si="143"/>
        <v>2516.7204433109882</v>
      </c>
    </row>
    <row r="353" spans="1:19" x14ac:dyDescent="0.25">
      <c r="A353"/>
      <c r="B353"/>
      <c r="C353" s="22" t="str">
        <f t="shared" si="128"/>
        <v/>
      </c>
      <c r="D353" s="23" t="str">
        <f t="shared" si="129"/>
        <v/>
      </c>
      <c r="E353" s="23" t="str">
        <f t="shared" si="138"/>
        <v/>
      </c>
      <c r="F353" s="23" t="str">
        <f t="shared" si="141"/>
        <v/>
      </c>
      <c r="G353" s="52">
        <f t="shared" si="126"/>
        <v>0</v>
      </c>
      <c r="H353" s="23">
        <f t="shared" si="130"/>
        <v>0</v>
      </c>
      <c r="I353" s="24"/>
      <c r="J353" s="23" t="str">
        <f t="shared" si="131"/>
        <v/>
      </c>
      <c r="K353" s="23">
        <f t="shared" si="132"/>
        <v>0</v>
      </c>
      <c r="L353" s="23" t="str">
        <f t="shared" si="133"/>
        <v/>
      </c>
      <c r="M353" s="23" t="e">
        <f t="shared" si="134"/>
        <v>#VALUE!</v>
      </c>
      <c r="N353" s="23" t="str">
        <f t="shared" si="135"/>
        <v/>
      </c>
      <c r="O353" s="23" t="e">
        <f t="shared" si="136"/>
        <v>#VALUE!</v>
      </c>
      <c r="P353" s="23" t="e">
        <f t="shared" si="127"/>
        <v>#VALUE!</v>
      </c>
      <c r="Q353" s="23" t="e">
        <f t="shared" si="137"/>
        <v>#VALUE!</v>
      </c>
      <c r="R353" s="23">
        <f t="shared" si="142"/>
        <v>331749.51298190275</v>
      </c>
      <c r="S353" s="25">
        <f t="shared" si="143"/>
        <v>2516.7204433109882</v>
      </c>
    </row>
    <row r="354" spans="1:19" x14ac:dyDescent="0.25">
      <c r="A354"/>
      <c r="B354"/>
      <c r="C354" s="22" t="str">
        <f t="shared" si="128"/>
        <v/>
      </c>
      <c r="D354" s="23" t="str">
        <f t="shared" si="129"/>
        <v/>
      </c>
      <c r="E354" s="23" t="str">
        <f t="shared" si="138"/>
        <v/>
      </c>
      <c r="F354" s="23" t="str">
        <f t="shared" si="141"/>
        <v/>
      </c>
      <c r="G354" s="52">
        <f t="shared" si="126"/>
        <v>0</v>
      </c>
      <c r="H354" s="23">
        <f t="shared" si="130"/>
        <v>0</v>
      </c>
      <c r="I354" s="24"/>
      <c r="J354" s="23" t="str">
        <f t="shared" si="131"/>
        <v/>
      </c>
      <c r="K354" s="23">
        <f t="shared" si="132"/>
        <v>0</v>
      </c>
      <c r="L354" s="23" t="str">
        <f t="shared" si="133"/>
        <v/>
      </c>
      <c r="M354" s="23" t="e">
        <f t="shared" si="134"/>
        <v>#VALUE!</v>
      </c>
      <c r="N354" s="23" t="str">
        <f t="shared" si="135"/>
        <v/>
      </c>
      <c r="O354" s="23" t="e">
        <f t="shared" si="136"/>
        <v>#VALUE!</v>
      </c>
      <c r="P354" s="23" t="e">
        <f t="shared" si="127"/>
        <v>#VALUE!</v>
      </c>
      <c r="Q354" s="23" t="e">
        <f t="shared" si="137"/>
        <v>#VALUE!</v>
      </c>
      <c r="R354" s="23">
        <f t="shared" si="142"/>
        <v>331749.51298190275</v>
      </c>
      <c r="S354" s="25">
        <f t="shared" si="143"/>
        <v>2516.7204433109882</v>
      </c>
    </row>
    <row r="355" spans="1:19" x14ac:dyDescent="0.25">
      <c r="A355"/>
      <c r="B355"/>
      <c r="C355" s="22" t="str">
        <f t="shared" si="128"/>
        <v/>
      </c>
      <c r="D355" s="23" t="str">
        <f t="shared" si="129"/>
        <v/>
      </c>
      <c r="E355" s="23" t="str">
        <f t="shared" si="138"/>
        <v/>
      </c>
      <c r="F355" s="23" t="str">
        <f t="shared" si="141"/>
        <v/>
      </c>
      <c r="G355" s="52">
        <f t="shared" si="126"/>
        <v>0</v>
      </c>
      <c r="H355" s="23">
        <f t="shared" si="130"/>
        <v>0</v>
      </c>
      <c r="I355" s="24"/>
      <c r="J355" s="23" t="str">
        <f t="shared" si="131"/>
        <v/>
      </c>
      <c r="K355" s="23">
        <f t="shared" si="132"/>
        <v>0</v>
      </c>
      <c r="L355" s="23" t="str">
        <f t="shared" si="133"/>
        <v/>
      </c>
      <c r="M355" s="23" t="e">
        <f t="shared" si="134"/>
        <v>#VALUE!</v>
      </c>
      <c r="N355" s="23" t="str">
        <f t="shared" si="135"/>
        <v/>
      </c>
      <c r="O355" s="23" t="e">
        <f t="shared" si="136"/>
        <v>#VALUE!</v>
      </c>
      <c r="P355" s="23" t="e">
        <f t="shared" si="127"/>
        <v>#VALUE!</v>
      </c>
      <c r="Q355" s="23" t="e">
        <f t="shared" si="137"/>
        <v>#VALUE!</v>
      </c>
      <c r="R355" s="23">
        <f t="shared" si="142"/>
        <v>331749.51298190275</v>
      </c>
      <c r="S355" s="25">
        <f t="shared" si="143"/>
        <v>2516.7204433109882</v>
      </c>
    </row>
    <row r="356" spans="1:19" x14ac:dyDescent="0.25">
      <c r="A356"/>
      <c r="B356"/>
      <c r="C356" s="22" t="str">
        <f t="shared" si="128"/>
        <v/>
      </c>
      <c r="D356" s="23" t="str">
        <f t="shared" si="129"/>
        <v/>
      </c>
      <c r="E356" s="23" t="str">
        <f t="shared" si="138"/>
        <v/>
      </c>
      <c r="F356" s="23" t="str">
        <f t="shared" si="141"/>
        <v/>
      </c>
      <c r="G356" s="52">
        <f t="shared" si="126"/>
        <v>0</v>
      </c>
      <c r="H356" s="23">
        <f t="shared" si="130"/>
        <v>0</v>
      </c>
      <c r="I356" s="24"/>
      <c r="J356" s="23" t="str">
        <f t="shared" si="131"/>
        <v/>
      </c>
      <c r="K356" s="23">
        <f t="shared" si="132"/>
        <v>0</v>
      </c>
      <c r="L356" s="23" t="str">
        <f t="shared" si="133"/>
        <v/>
      </c>
      <c r="M356" s="23" t="e">
        <f t="shared" si="134"/>
        <v>#VALUE!</v>
      </c>
      <c r="N356" s="23" t="str">
        <f t="shared" si="135"/>
        <v/>
      </c>
      <c r="O356" s="23" t="e">
        <f t="shared" si="136"/>
        <v>#VALUE!</v>
      </c>
      <c r="P356" s="23" t="e">
        <f t="shared" si="127"/>
        <v>#VALUE!</v>
      </c>
      <c r="Q356" s="23" t="e">
        <f t="shared" si="137"/>
        <v>#VALUE!</v>
      </c>
      <c r="R356" s="23">
        <f t="shared" si="142"/>
        <v>331749.51298190275</v>
      </c>
      <c r="S356" s="25">
        <f t="shared" si="143"/>
        <v>2516.7204433109882</v>
      </c>
    </row>
    <row r="357" spans="1:19" x14ac:dyDescent="0.25">
      <c r="A357"/>
      <c r="B357"/>
      <c r="C357" s="22" t="str">
        <f t="shared" si="128"/>
        <v/>
      </c>
      <c r="D357" s="23" t="str">
        <f t="shared" si="129"/>
        <v/>
      </c>
      <c r="E357" s="23" t="str">
        <f t="shared" si="138"/>
        <v/>
      </c>
      <c r="F357" s="23" t="str">
        <f t="shared" si="141"/>
        <v/>
      </c>
      <c r="G357" s="52">
        <f t="shared" si="126"/>
        <v>0</v>
      </c>
      <c r="H357" s="23">
        <f t="shared" si="130"/>
        <v>0</v>
      </c>
      <c r="I357" s="24"/>
      <c r="J357" s="23" t="str">
        <f t="shared" si="131"/>
        <v/>
      </c>
      <c r="K357" s="23">
        <f t="shared" si="132"/>
        <v>0</v>
      </c>
      <c r="L357" s="23" t="str">
        <f t="shared" si="133"/>
        <v/>
      </c>
      <c r="M357" s="23" t="e">
        <f t="shared" si="134"/>
        <v>#VALUE!</v>
      </c>
      <c r="N357" s="23" t="str">
        <f t="shared" si="135"/>
        <v/>
      </c>
      <c r="O357" s="23" t="e">
        <f t="shared" si="136"/>
        <v>#VALUE!</v>
      </c>
      <c r="P357" s="23" t="e">
        <f t="shared" si="127"/>
        <v>#VALUE!</v>
      </c>
      <c r="Q357" s="23" t="e">
        <f t="shared" si="137"/>
        <v>#VALUE!</v>
      </c>
      <c r="R357" s="23">
        <f t="shared" si="142"/>
        <v>331749.51298190275</v>
      </c>
      <c r="S357" s="25">
        <f t="shared" si="143"/>
        <v>2516.7204433109882</v>
      </c>
    </row>
    <row r="358" spans="1:19" x14ac:dyDescent="0.25">
      <c r="A358"/>
      <c r="B358"/>
      <c r="C358" s="22" t="str">
        <f t="shared" si="128"/>
        <v/>
      </c>
      <c r="D358" s="23" t="str">
        <f t="shared" si="129"/>
        <v/>
      </c>
      <c r="E358" s="23" t="str">
        <f t="shared" si="138"/>
        <v/>
      </c>
      <c r="F358" s="23" t="str">
        <f t="shared" si="141"/>
        <v/>
      </c>
      <c r="G358" s="52">
        <f t="shared" si="126"/>
        <v>0</v>
      </c>
      <c r="H358" s="23">
        <f t="shared" si="130"/>
        <v>0</v>
      </c>
      <c r="I358" s="24"/>
      <c r="J358" s="23" t="str">
        <f t="shared" si="131"/>
        <v/>
      </c>
      <c r="K358" s="23">
        <f t="shared" si="132"/>
        <v>0</v>
      </c>
      <c r="L358" s="23" t="str">
        <f t="shared" si="133"/>
        <v/>
      </c>
      <c r="M358" s="23" t="e">
        <f t="shared" si="134"/>
        <v>#VALUE!</v>
      </c>
      <c r="N358" s="23" t="str">
        <f t="shared" si="135"/>
        <v/>
      </c>
      <c r="O358" s="23" t="e">
        <f t="shared" si="136"/>
        <v>#VALUE!</v>
      </c>
      <c r="P358" s="23" t="e">
        <f t="shared" si="127"/>
        <v>#VALUE!</v>
      </c>
      <c r="Q358" s="23" t="e">
        <f t="shared" si="137"/>
        <v>#VALUE!</v>
      </c>
      <c r="R358" s="23">
        <f t="shared" si="142"/>
        <v>331749.51298190275</v>
      </c>
      <c r="S358" s="25">
        <f t="shared" si="143"/>
        <v>2516.7204433109882</v>
      </c>
    </row>
    <row r="359" spans="1:19" x14ac:dyDescent="0.25">
      <c r="A359"/>
      <c r="B359"/>
      <c r="C359" s="22" t="str">
        <f t="shared" si="128"/>
        <v/>
      </c>
      <c r="D359" s="23" t="str">
        <f t="shared" si="129"/>
        <v/>
      </c>
      <c r="E359" s="23" t="str">
        <f t="shared" si="138"/>
        <v/>
      </c>
      <c r="F359" s="23" t="str">
        <f t="shared" si="141"/>
        <v/>
      </c>
      <c r="G359" s="52">
        <f t="shared" si="126"/>
        <v>0</v>
      </c>
      <c r="H359" s="23">
        <f t="shared" si="130"/>
        <v>0</v>
      </c>
      <c r="I359" s="24"/>
      <c r="J359" s="23" t="str">
        <f t="shared" si="131"/>
        <v/>
      </c>
      <c r="K359" s="23">
        <f t="shared" si="132"/>
        <v>0</v>
      </c>
      <c r="L359" s="23" t="str">
        <f t="shared" si="133"/>
        <v/>
      </c>
      <c r="M359" s="23" t="e">
        <f t="shared" si="134"/>
        <v>#VALUE!</v>
      </c>
      <c r="N359" s="23" t="str">
        <f t="shared" si="135"/>
        <v/>
      </c>
      <c r="O359" s="23" t="e">
        <f t="shared" si="136"/>
        <v>#VALUE!</v>
      </c>
      <c r="P359" s="23" t="e">
        <f t="shared" si="127"/>
        <v>#VALUE!</v>
      </c>
      <c r="Q359" s="23" t="e">
        <f t="shared" si="137"/>
        <v>#VALUE!</v>
      </c>
      <c r="R359" s="23">
        <f t="shared" si="142"/>
        <v>331749.51298190275</v>
      </c>
      <c r="S359" s="25">
        <f t="shared" si="143"/>
        <v>2516.7204433109882</v>
      </c>
    </row>
    <row r="360" spans="1:19" x14ac:dyDescent="0.25">
      <c r="A360"/>
      <c r="B360"/>
      <c r="C360" s="22" t="str">
        <f t="shared" si="128"/>
        <v/>
      </c>
      <c r="D360" s="23" t="str">
        <f t="shared" si="129"/>
        <v/>
      </c>
      <c r="E360" s="23" t="str">
        <f t="shared" si="138"/>
        <v/>
      </c>
      <c r="F360" s="23" t="str">
        <f t="shared" si="141"/>
        <v/>
      </c>
      <c r="G360" s="52">
        <f t="shared" si="126"/>
        <v>0</v>
      </c>
      <c r="H360" s="23">
        <f t="shared" si="130"/>
        <v>0</v>
      </c>
      <c r="I360" s="24"/>
      <c r="J360" s="23" t="str">
        <f t="shared" si="131"/>
        <v/>
      </c>
      <c r="K360" s="23">
        <f t="shared" si="132"/>
        <v>0</v>
      </c>
      <c r="L360" s="23" t="str">
        <f t="shared" si="133"/>
        <v/>
      </c>
      <c r="M360" s="23" t="e">
        <f t="shared" si="134"/>
        <v>#VALUE!</v>
      </c>
      <c r="N360" s="23" t="str">
        <f t="shared" si="135"/>
        <v/>
      </c>
      <c r="O360" s="23" t="e">
        <f t="shared" si="136"/>
        <v>#VALUE!</v>
      </c>
      <c r="P360" s="23" t="e">
        <f t="shared" si="127"/>
        <v>#VALUE!</v>
      </c>
      <c r="Q360" s="23" t="e">
        <f t="shared" si="137"/>
        <v>#VALUE!</v>
      </c>
      <c r="R360" s="23">
        <f t="shared" si="142"/>
        <v>331749.51298190275</v>
      </c>
      <c r="S360" s="25">
        <f t="shared" si="143"/>
        <v>2516.7204433109882</v>
      </c>
    </row>
    <row r="361" spans="1:19" x14ac:dyDescent="0.25">
      <c r="A361"/>
      <c r="B361"/>
      <c r="C361" s="22" t="str">
        <f t="shared" si="128"/>
        <v/>
      </c>
      <c r="D361" s="23" t="str">
        <f t="shared" si="129"/>
        <v/>
      </c>
      <c r="E361" s="23" t="str">
        <f t="shared" si="138"/>
        <v/>
      </c>
      <c r="F361" s="23" t="str">
        <f t="shared" si="141"/>
        <v/>
      </c>
      <c r="G361" s="52">
        <f t="shared" si="126"/>
        <v>0</v>
      </c>
      <c r="H361" s="23">
        <f t="shared" si="130"/>
        <v>0</v>
      </c>
      <c r="I361" s="24"/>
      <c r="J361" s="23" t="str">
        <f t="shared" si="131"/>
        <v/>
      </c>
      <c r="K361" s="23">
        <f t="shared" si="132"/>
        <v>0</v>
      </c>
      <c r="L361" s="23" t="str">
        <f t="shared" si="133"/>
        <v/>
      </c>
      <c r="M361" s="23" t="e">
        <f t="shared" si="134"/>
        <v>#VALUE!</v>
      </c>
      <c r="N361" s="23" t="str">
        <f t="shared" si="135"/>
        <v/>
      </c>
      <c r="O361" s="23" t="e">
        <f t="shared" si="136"/>
        <v>#VALUE!</v>
      </c>
      <c r="P361" s="23" t="e">
        <f t="shared" si="127"/>
        <v>#VALUE!</v>
      </c>
      <c r="Q361" s="23" t="e">
        <f t="shared" si="137"/>
        <v>#VALUE!</v>
      </c>
      <c r="R361" s="23">
        <f t="shared" ref="R361:R372" si="144">$R$360+ $R$360*$M$8</f>
        <v>341701.99837135983</v>
      </c>
      <c r="S361" s="25">
        <f t="shared" ref="S361:S372" si="145">$S$360 + ($S$360 * $T$5)</f>
        <v>2592.2220566103178</v>
      </c>
    </row>
    <row r="362" spans="1:19" x14ac:dyDescent="0.25">
      <c r="A362"/>
      <c r="B362"/>
      <c r="C362" s="22" t="str">
        <f t="shared" si="128"/>
        <v/>
      </c>
      <c r="D362" s="23" t="str">
        <f t="shared" si="129"/>
        <v/>
      </c>
      <c r="E362" s="23" t="str">
        <f t="shared" si="138"/>
        <v/>
      </c>
      <c r="F362" s="23" t="str">
        <f t="shared" si="141"/>
        <v/>
      </c>
      <c r="G362" s="52">
        <f t="shared" si="126"/>
        <v>0</v>
      </c>
      <c r="H362" s="23">
        <f t="shared" si="130"/>
        <v>0</v>
      </c>
      <c r="I362" s="24"/>
      <c r="J362" s="23" t="str">
        <f t="shared" si="131"/>
        <v/>
      </c>
      <c r="K362" s="23">
        <f t="shared" si="132"/>
        <v>0</v>
      </c>
      <c r="L362" s="23" t="str">
        <f t="shared" si="133"/>
        <v/>
      </c>
      <c r="M362" s="23" t="e">
        <f t="shared" si="134"/>
        <v>#VALUE!</v>
      </c>
      <c r="N362" s="23" t="str">
        <f t="shared" si="135"/>
        <v/>
      </c>
      <c r="O362" s="23" t="e">
        <f t="shared" si="136"/>
        <v>#VALUE!</v>
      </c>
      <c r="P362" s="23" t="e">
        <f t="shared" si="127"/>
        <v>#VALUE!</v>
      </c>
      <c r="Q362" s="23" t="e">
        <f t="shared" si="137"/>
        <v>#VALUE!</v>
      </c>
      <c r="R362" s="23">
        <f t="shared" si="144"/>
        <v>341701.99837135983</v>
      </c>
      <c r="S362" s="25">
        <f t="shared" si="145"/>
        <v>2592.2220566103178</v>
      </c>
    </row>
    <row r="363" spans="1:19" x14ac:dyDescent="0.25">
      <c r="A363"/>
      <c r="B363"/>
      <c r="C363" s="22" t="str">
        <f t="shared" si="128"/>
        <v/>
      </c>
      <c r="D363" s="23" t="str">
        <f t="shared" si="129"/>
        <v/>
      </c>
      <c r="E363" s="23" t="str">
        <f t="shared" si="138"/>
        <v/>
      </c>
      <c r="F363" s="23" t="str">
        <f t="shared" si="141"/>
        <v/>
      </c>
      <c r="G363" s="52">
        <f t="shared" si="126"/>
        <v>0</v>
      </c>
      <c r="H363" s="23">
        <f t="shared" si="130"/>
        <v>0</v>
      </c>
      <c r="I363" s="24"/>
      <c r="J363" s="23" t="str">
        <f t="shared" si="131"/>
        <v/>
      </c>
      <c r="K363" s="23">
        <f t="shared" si="132"/>
        <v>0</v>
      </c>
      <c r="L363" s="23" t="str">
        <f t="shared" si="133"/>
        <v/>
      </c>
      <c r="M363" s="23" t="e">
        <f t="shared" si="134"/>
        <v>#VALUE!</v>
      </c>
      <c r="N363" s="23" t="str">
        <f t="shared" si="135"/>
        <v/>
      </c>
      <c r="O363" s="23" t="e">
        <f t="shared" si="136"/>
        <v>#VALUE!</v>
      </c>
      <c r="P363" s="23" t="e">
        <f t="shared" si="127"/>
        <v>#VALUE!</v>
      </c>
      <c r="Q363" s="23" t="e">
        <f t="shared" si="137"/>
        <v>#VALUE!</v>
      </c>
      <c r="R363" s="23">
        <f t="shared" si="144"/>
        <v>341701.99837135983</v>
      </c>
      <c r="S363" s="25">
        <f t="shared" si="145"/>
        <v>2592.2220566103178</v>
      </c>
    </row>
    <row r="364" spans="1:19" x14ac:dyDescent="0.25">
      <c r="A364"/>
      <c r="B364"/>
      <c r="C364" s="22" t="str">
        <f t="shared" si="128"/>
        <v/>
      </c>
      <c r="D364" s="23" t="str">
        <f t="shared" si="129"/>
        <v/>
      </c>
      <c r="E364" s="23" t="str">
        <f t="shared" si="138"/>
        <v/>
      </c>
      <c r="F364" s="23" t="str">
        <f t="shared" si="141"/>
        <v/>
      </c>
      <c r="G364" s="52">
        <f t="shared" si="126"/>
        <v>0</v>
      </c>
      <c r="H364" s="23">
        <f t="shared" si="130"/>
        <v>0</v>
      </c>
      <c r="I364" s="24"/>
      <c r="J364" s="23" t="str">
        <f t="shared" si="131"/>
        <v/>
      </c>
      <c r="K364" s="23">
        <f t="shared" si="132"/>
        <v>0</v>
      </c>
      <c r="L364" s="23" t="str">
        <f t="shared" si="133"/>
        <v/>
      </c>
      <c r="M364" s="23" t="e">
        <f t="shared" si="134"/>
        <v>#VALUE!</v>
      </c>
      <c r="N364" s="23" t="str">
        <f t="shared" si="135"/>
        <v/>
      </c>
      <c r="O364" s="23" t="e">
        <f t="shared" si="136"/>
        <v>#VALUE!</v>
      </c>
      <c r="P364" s="23" t="e">
        <f t="shared" si="127"/>
        <v>#VALUE!</v>
      </c>
      <c r="Q364" s="23" t="e">
        <f t="shared" si="137"/>
        <v>#VALUE!</v>
      </c>
      <c r="R364" s="23">
        <f t="shared" si="144"/>
        <v>341701.99837135983</v>
      </c>
      <c r="S364" s="25">
        <f t="shared" si="145"/>
        <v>2592.2220566103178</v>
      </c>
    </row>
    <row r="365" spans="1:19" x14ac:dyDescent="0.25">
      <c r="A365"/>
      <c r="B365"/>
      <c r="C365" s="22" t="str">
        <f t="shared" si="128"/>
        <v/>
      </c>
      <c r="D365" s="23" t="str">
        <f t="shared" si="129"/>
        <v/>
      </c>
      <c r="E365" s="23" t="str">
        <f t="shared" si="138"/>
        <v/>
      </c>
      <c r="F365" s="23" t="str">
        <f t="shared" si="141"/>
        <v/>
      </c>
      <c r="G365" s="52">
        <f t="shared" si="126"/>
        <v>0</v>
      </c>
      <c r="H365" s="23">
        <f t="shared" si="130"/>
        <v>0</v>
      </c>
      <c r="I365" s="24"/>
      <c r="J365" s="23" t="str">
        <f t="shared" si="131"/>
        <v/>
      </c>
      <c r="K365" s="23">
        <f t="shared" si="132"/>
        <v>0</v>
      </c>
      <c r="L365" s="23" t="str">
        <f t="shared" si="133"/>
        <v/>
      </c>
      <c r="M365" s="23" t="e">
        <f t="shared" si="134"/>
        <v>#VALUE!</v>
      </c>
      <c r="N365" s="23" t="str">
        <f t="shared" si="135"/>
        <v/>
      </c>
      <c r="O365" s="23" t="e">
        <f t="shared" si="136"/>
        <v>#VALUE!</v>
      </c>
      <c r="P365" s="23" t="e">
        <f t="shared" si="127"/>
        <v>#VALUE!</v>
      </c>
      <c r="Q365" s="23" t="e">
        <f t="shared" si="137"/>
        <v>#VALUE!</v>
      </c>
      <c r="R365" s="23">
        <f t="shared" si="144"/>
        <v>341701.99837135983</v>
      </c>
      <c r="S365" s="25">
        <f t="shared" si="145"/>
        <v>2592.2220566103178</v>
      </c>
    </row>
    <row r="366" spans="1:19" x14ac:dyDescent="0.25">
      <c r="A366"/>
      <c r="B366"/>
      <c r="C366" s="22" t="str">
        <f t="shared" si="128"/>
        <v/>
      </c>
      <c r="D366" s="23" t="str">
        <f t="shared" si="129"/>
        <v/>
      </c>
      <c r="E366" s="23" t="str">
        <f t="shared" si="138"/>
        <v/>
      </c>
      <c r="F366" s="23" t="str">
        <f t="shared" si="141"/>
        <v/>
      </c>
      <c r="G366" s="52">
        <f t="shared" si="126"/>
        <v>0</v>
      </c>
      <c r="H366" s="23">
        <f t="shared" si="130"/>
        <v>0</v>
      </c>
      <c r="I366" s="24"/>
      <c r="J366" s="23" t="str">
        <f t="shared" si="131"/>
        <v/>
      </c>
      <c r="K366" s="23">
        <f t="shared" si="132"/>
        <v>0</v>
      </c>
      <c r="L366" s="23" t="str">
        <f t="shared" si="133"/>
        <v/>
      </c>
      <c r="M366" s="23" t="e">
        <f t="shared" si="134"/>
        <v>#VALUE!</v>
      </c>
      <c r="N366" s="23" t="str">
        <f t="shared" si="135"/>
        <v/>
      </c>
      <c r="O366" s="23" t="e">
        <f t="shared" si="136"/>
        <v>#VALUE!</v>
      </c>
      <c r="P366" s="23" t="e">
        <f t="shared" si="127"/>
        <v>#VALUE!</v>
      </c>
      <c r="Q366" s="23" t="e">
        <f t="shared" si="137"/>
        <v>#VALUE!</v>
      </c>
      <c r="R366" s="23">
        <f t="shared" si="144"/>
        <v>341701.99837135983</v>
      </c>
      <c r="S366" s="25">
        <f t="shared" si="145"/>
        <v>2592.2220566103178</v>
      </c>
    </row>
    <row r="367" spans="1:19" x14ac:dyDescent="0.25">
      <c r="A367"/>
      <c r="B367"/>
      <c r="C367" s="22" t="str">
        <f t="shared" si="128"/>
        <v/>
      </c>
      <c r="D367" s="23" t="str">
        <f t="shared" si="129"/>
        <v/>
      </c>
      <c r="E367" s="23" t="str">
        <f t="shared" si="138"/>
        <v/>
      </c>
      <c r="F367" s="23" t="str">
        <f t="shared" si="141"/>
        <v/>
      </c>
      <c r="G367" s="52">
        <f t="shared" si="126"/>
        <v>0</v>
      </c>
      <c r="H367" s="23">
        <f t="shared" si="130"/>
        <v>0</v>
      </c>
      <c r="I367" s="24"/>
      <c r="J367" s="23" t="str">
        <f t="shared" si="131"/>
        <v/>
      </c>
      <c r="K367" s="23">
        <f t="shared" si="132"/>
        <v>0</v>
      </c>
      <c r="L367" s="23" t="str">
        <f t="shared" si="133"/>
        <v/>
      </c>
      <c r="M367" s="23" t="e">
        <f t="shared" si="134"/>
        <v>#VALUE!</v>
      </c>
      <c r="N367" s="23" t="str">
        <f t="shared" si="135"/>
        <v/>
      </c>
      <c r="O367" s="23" t="e">
        <f t="shared" si="136"/>
        <v>#VALUE!</v>
      </c>
      <c r="P367" s="23" t="e">
        <f t="shared" si="127"/>
        <v>#VALUE!</v>
      </c>
      <c r="Q367" s="23" t="e">
        <f t="shared" si="137"/>
        <v>#VALUE!</v>
      </c>
      <c r="R367" s="23">
        <f t="shared" si="144"/>
        <v>341701.99837135983</v>
      </c>
      <c r="S367" s="25">
        <f t="shared" si="145"/>
        <v>2592.2220566103178</v>
      </c>
    </row>
    <row r="368" spans="1:19" x14ac:dyDescent="0.25">
      <c r="A368"/>
      <c r="B368"/>
      <c r="C368" s="22" t="str">
        <f t="shared" si="128"/>
        <v/>
      </c>
      <c r="D368" s="23" t="str">
        <f t="shared" si="129"/>
        <v/>
      </c>
      <c r="E368" s="23" t="str">
        <f t="shared" si="138"/>
        <v/>
      </c>
      <c r="F368" s="23" t="str">
        <f t="shared" si="141"/>
        <v/>
      </c>
      <c r="G368" s="52">
        <f t="shared" si="126"/>
        <v>0</v>
      </c>
      <c r="H368" s="23">
        <f t="shared" si="130"/>
        <v>0</v>
      </c>
      <c r="I368" s="24"/>
      <c r="J368" s="23" t="str">
        <f t="shared" si="131"/>
        <v/>
      </c>
      <c r="K368" s="23">
        <f t="shared" si="132"/>
        <v>0</v>
      </c>
      <c r="L368" s="23" t="str">
        <f t="shared" si="133"/>
        <v/>
      </c>
      <c r="M368" s="23" t="e">
        <f t="shared" si="134"/>
        <v>#VALUE!</v>
      </c>
      <c r="N368" s="23" t="str">
        <f t="shared" si="135"/>
        <v/>
      </c>
      <c r="O368" s="23" t="e">
        <f t="shared" si="136"/>
        <v>#VALUE!</v>
      </c>
      <c r="P368" s="23" t="e">
        <f t="shared" si="127"/>
        <v>#VALUE!</v>
      </c>
      <c r="Q368" s="23" t="e">
        <f t="shared" si="137"/>
        <v>#VALUE!</v>
      </c>
      <c r="R368" s="23">
        <f t="shared" si="144"/>
        <v>341701.99837135983</v>
      </c>
      <c r="S368" s="25">
        <f t="shared" si="145"/>
        <v>2592.2220566103178</v>
      </c>
    </row>
    <row r="369" spans="1:19" x14ac:dyDescent="0.25">
      <c r="A369"/>
      <c r="B369"/>
      <c r="C369" s="22" t="str">
        <f t="shared" si="128"/>
        <v/>
      </c>
      <c r="D369" s="23" t="str">
        <f t="shared" si="129"/>
        <v/>
      </c>
      <c r="E369" s="23" t="str">
        <f t="shared" si="138"/>
        <v/>
      </c>
      <c r="F369" s="23" t="str">
        <f t="shared" si="141"/>
        <v/>
      </c>
      <c r="G369" s="52">
        <f t="shared" si="126"/>
        <v>0</v>
      </c>
      <c r="H369" s="23">
        <f t="shared" si="130"/>
        <v>0</v>
      </c>
      <c r="I369" s="24"/>
      <c r="J369" s="23" t="str">
        <f t="shared" si="131"/>
        <v/>
      </c>
      <c r="K369" s="23">
        <f t="shared" si="132"/>
        <v>0</v>
      </c>
      <c r="L369" s="23" t="str">
        <f t="shared" si="133"/>
        <v/>
      </c>
      <c r="M369" s="23" t="e">
        <f t="shared" si="134"/>
        <v>#VALUE!</v>
      </c>
      <c r="N369" s="23" t="str">
        <f t="shared" si="135"/>
        <v/>
      </c>
      <c r="O369" s="23" t="e">
        <f t="shared" si="136"/>
        <v>#VALUE!</v>
      </c>
      <c r="P369" s="23" t="e">
        <f t="shared" si="127"/>
        <v>#VALUE!</v>
      </c>
      <c r="Q369" s="23" t="e">
        <f t="shared" si="137"/>
        <v>#VALUE!</v>
      </c>
      <c r="R369" s="23">
        <f t="shared" si="144"/>
        <v>341701.99837135983</v>
      </c>
      <c r="S369" s="25">
        <f t="shared" si="145"/>
        <v>2592.2220566103178</v>
      </c>
    </row>
    <row r="370" spans="1:19" x14ac:dyDescent="0.25">
      <c r="A370"/>
      <c r="B370"/>
      <c r="C370" s="22" t="str">
        <f t="shared" si="128"/>
        <v/>
      </c>
      <c r="D370" s="23" t="str">
        <f t="shared" si="129"/>
        <v/>
      </c>
      <c r="E370" s="23" t="str">
        <f t="shared" si="138"/>
        <v/>
      </c>
      <c r="F370" s="23" t="str">
        <f t="shared" si="141"/>
        <v/>
      </c>
      <c r="G370" s="52">
        <f t="shared" si="126"/>
        <v>0</v>
      </c>
      <c r="H370" s="23">
        <f t="shared" si="130"/>
        <v>0</v>
      </c>
      <c r="I370" s="24"/>
      <c r="J370" s="23" t="str">
        <f t="shared" si="131"/>
        <v/>
      </c>
      <c r="K370" s="23">
        <f t="shared" si="132"/>
        <v>0</v>
      </c>
      <c r="L370" s="23" t="str">
        <f t="shared" si="133"/>
        <v/>
      </c>
      <c r="M370" s="23" t="e">
        <f t="shared" si="134"/>
        <v>#VALUE!</v>
      </c>
      <c r="N370" s="23" t="str">
        <f t="shared" si="135"/>
        <v/>
      </c>
      <c r="O370" s="23" t="e">
        <f t="shared" si="136"/>
        <v>#VALUE!</v>
      </c>
      <c r="P370" s="23" t="e">
        <f t="shared" si="127"/>
        <v>#VALUE!</v>
      </c>
      <c r="Q370" s="23" t="e">
        <f t="shared" si="137"/>
        <v>#VALUE!</v>
      </c>
      <c r="R370" s="23">
        <f t="shared" si="144"/>
        <v>341701.99837135983</v>
      </c>
      <c r="S370" s="25">
        <f t="shared" si="145"/>
        <v>2592.2220566103178</v>
      </c>
    </row>
    <row r="371" spans="1:19" x14ac:dyDescent="0.25">
      <c r="A371"/>
      <c r="B371"/>
      <c r="C371" s="22" t="str">
        <f t="shared" si="128"/>
        <v/>
      </c>
      <c r="D371" s="23" t="str">
        <f t="shared" si="129"/>
        <v/>
      </c>
      <c r="E371" s="23" t="str">
        <f t="shared" si="138"/>
        <v/>
      </c>
      <c r="F371" s="23" t="str">
        <f t="shared" si="141"/>
        <v/>
      </c>
      <c r="G371" s="52">
        <f t="shared" si="126"/>
        <v>0</v>
      </c>
      <c r="H371" s="23">
        <f t="shared" si="130"/>
        <v>0</v>
      </c>
      <c r="I371" s="24"/>
      <c r="J371" s="23" t="str">
        <f t="shared" si="131"/>
        <v/>
      </c>
      <c r="K371" s="23">
        <f t="shared" si="132"/>
        <v>0</v>
      </c>
      <c r="L371" s="23" t="str">
        <f t="shared" si="133"/>
        <v/>
      </c>
      <c r="M371" s="23" t="e">
        <f t="shared" si="134"/>
        <v>#VALUE!</v>
      </c>
      <c r="N371" s="23" t="str">
        <f t="shared" si="135"/>
        <v/>
      </c>
      <c r="O371" s="23" t="e">
        <f t="shared" si="136"/>
        <v>#VALUE!</v>
      </c>
      <c r="P371" s="23" t="e">
        <f t="shared" si="127"/>
        <v>#VALUE!</v>
      </c>
      <c r="Q371" s="23" t="e">
        <f t="shared" si="137"/>
        <v>#VALUE!</v>
      </c>
      <c r="R371" s="23">
        <f t="shared" si="144"/>
        <v>341701.99837135983</v>
      </c>
      <c r="S371" s="25">
        <f t="shared" si="145"/>
        <v>2592.2220566103178</v>
      </c>
    </row>
    <row r="372" spans="1:19" ht="15.75" thickBot="1" x14ac:dyDescent="0.3">
      <c r="A372"/>
      <c r="B372"/>
      <c r="C372" s="26" t="str">
        <f t="shared" si="128"/>
        <v/>
      </c>
      <c r="D372" s="27" t="str">
        <f t="shared" si="129"/>
        <v/>
      </c>
      <c r="E372" s="23" t="str">
        <f t="shared" si="138"/>
        <v/>
      </c>
      <c r="F372" s="23" t="str">
        <f t="shared" si="141"/>
        <v/>
      </c>
      <c r="G372" s="52">
        <f t="shared" si="126"/>
        <v>0</v>
      </c>
      <c r="H372" s="27">
        <f t="shared" si="130"/>
        <v>0</v>
      </c>
      <c r="I372" s="24"/>
      <c r="J372" s="23" t="str">
        <f t="shared" si="131"/>
        <v/>
      </c>
      <c r="K372" s="27">
        <f t="shared" si="132"/>
        <v>0</v>
      </c>
      <c r="L372" s="27" t="str">
        <f t="shared" si="133"/>
        <v/>
      </c>
      <c r="M372" s="27" t="e">
        <f t="shared" si="134"/>
        <v>#VALUE!</v>
      </c>
      <c r="N372" s="23" t="str">
        <f t="shared" si="135"/>
        <v/>
      </c>
      <c r="O372" s="23" t="e">
        <f t="shared" si="136"/>
        <v>#VALUE!</v>
      </c>
      <c r="P372" s="27" t="e">
        <f t="shared" si="127"/>
        <v>#VALUE!</v>
      </c>
      <c r="Q372" s="27" t="e">
        <f t="shared" si="137"/>
        <v>#VALUE!</v>
      </c>
      <c r="R372" s="27">
        <f t="shared" si="144"/>
        <v>341701.99837135983</v>
      </c>
      <c r="S372" s="29">
        <f t="shared" si="145"/>
        <v>2592.2220566103178</v>
      </c>
    </row>
    <row r="373" spans="1:19" x14ac:dyDescent="0.25">
      <c r="A373"/>
      <c r="B373"/>
      <c r="C373" s="2" t="str">
        <f t="shared" si="128"/>
        <v/>
      </c>
      <c r="D373" s="30" t="str">
        <f t="shared" si="129"/>
        <v/>
      </c>
      <c r="E373" s="23" t="str">
        <f t="shared" si="138"/>
        <v/>
      </c>
      <c r="F373" s="23" t="str">
        <f t="shared" si="141"/>
        <v/>
      </c>
      <c r="G373" s="52">
        <f t="shared" si="126"/>
        <v>0</v>
      </c>
      <c r="H373" s="30">
        <f t="shared" si="130"/>
        <v>0</v>
      </c>
      <c r="I373" s="24"/>
      <c r="K373" s="30">
        <f t="shared" si="132"/>
        <v>0</v>
      </c>
      <c r="L373" s="30" t="str">
        <f t="shared" si="133"/>
        <v/>
      </c>
      <c r="M373" s="30" t="e">
        <f t="shared" ref="M373:M404" si="146">+I373+H373+G373+F373+E373</f>
        <v>#VALUE!</v>
      </c>
      <c r="N373" s="30"/>
    </row>
    <row r="374" spans="1:19" x14ac:dyDescent="0.25">
      <c r="A374"/>
      <c r="B374"/>
      <c r="C374" s="2" t="str">
        <f t="shared" si="128"/>
        <v/>
      </c>
      <c r="D374" s="30" t="str">
        <f t="shared" si="129"/>
        <v/>
      </c>
      <c r="E374" s="23" t="str">
        <f t="shared" si="138"/>
        <v/>
      </c>
      <c r="F374" s="23" t="str">
        <f t="shared" si="141"/>
        <v/>
      </c>
      <c r="G374" s="52">
        <f t="shared" si="126"/>
        <v>0</v>
      </c>
      <c r="H374" s="30">
        <f t="shared" si="130"/>
        <v>0</v>
      </c>
      <c r="I374" s="24"/>
      <c r="K374" s="30">
        <f t="shared" si="132"/>
        <v>0</v>
      </c>
      <c r="L374" s="30" t="str">
        <f t="shared" si="133"/>
        <v/>
      </c>
      <c r="M374" s="30" t="e">
        <f t="shared" si="146"/>
        <v>#VALUE!</v>
      </c>
      <c r="N374" s="30"/>
    </row>
    <row r="375" spans="1:19" x14ac:dyDescent="0.25">
      <c r="A375"/>
      <c r="B375"/>
      <c r="C375" s="2" t="str">
        <f t="shared" si="128"/>
        <v/>
      </c>
      <c r="D375" s="30" t="str">
        <f t="shared" si="129"/>
        <v/>
      </c>
      <c r="E375" s="23" t="str">
        <f t="shared" si="138"/>
        <v/>
      </c>
      <c r="F375" s="23" t="str">
        <f t="shared" si="141"/>
        <v/>
      </c>
      <c r="G375" s="52">
        <f t="shared" si="126"/>
        <v>0</v>
      </c>
      <c r="H375" s="30">
        <f t="shared" si="130"/>
        <v>0</v>
      </c>
      <c r="I375" s="24"/>
      <c r="K375" s="30">
        <f t="shared" si="132"/>
        <v>0</v>
      </c>
      <c r="L375" s="30" t="str">
        <f t="shared" si="133"/>
        <v/>
      </c>
      <c r="M375" s="30" t="e">
        <f t="shared" si="146"/>
        <v>#VALUE!</v>
      </c>
      <c r="N375" s="30"/>
    </row>
    <row r="376" spans="1:19" x14ac:dyDescent="0.25">
      <c r="A376"/>
      <c r="B376"/>
      <c r="C376" s="2" t="str">
        <f t="shared" si="128"/>
        <v/>
      </c>
      <c r="D376" s="30" t="str">
        <f t="shared" si="129"/>
        <v/>
      </c>
      <c r="E376" s="23" t="str">
        <f t="shared" si="138"/>
        <v/>
      </c>
      <c r="F376" s="23" t="str">
        <f t="shared" si="141"/>
        <v/>
      </c>
      <c r="G376" s="52">
        <f t="shared" si="126"/>
        <v>0</v>
      </c>
      <c r="H376" s="30">
        <f t="shared" si="130"/>
        <v>0</v>
      </c>
      <c r="I376" s="24"/>
      <c r="K376" s="30">
        <f t="shared" si="132"/>
        <v>0</v>
      </c>
      <c r="L376" s="30" t="str">
        <f t="shared" si="133"/>
        <v/>
      </c>
      <c r="M376" s="30" t="e">
        <f t="shared" si="146"/>
        <v>#VALUE!</v>
      </c>
      <c r="N376" s="30"/>
    </row>
    <row r="377" spans="1:19" x14ac:dyDescent="0.25">
      <c r="A377"/>
      <c r="B377"/>
      <c r="C377" s="2" t="str">
        <f t="shared" si="128"/>
        <v/>
      </c>
      <c r="D377" s="30" t="str">
        <f t="shared" si="129"/>
        <v/>
      </c>
      <c r="E377" s="23" t="str">
        <f t="shared" si="138"/>
        <v/>
      </c>
      <c r="F377" s="23" t="str">
        <f t="shared" si="141"/>
        <v/>
      </c>
      <c r="G377" s="52">
        <f t="shared" si="126"/>
        <v>0</v>
      </c>
      <c r="H377" s="30">
        <f t="shared" si="130"/>
        <v>0</v>
      </c>
      <c r="I377" s="24"/>
      <c r="K377" s="30">
        <f t="shared" si="132"/>
        <v>0</v>
      </c>
      <c r="L377" s="30" t="str">
        <f t="shared" si="133"/>
        <v/>
      </c>
      <c r="M377" s="30" t="e">
        <f t="shared" si="146"/>
        <v>#VALUE!</v>
      </c>
      <c r="N377" s="30"/>
    </row>
    <row r="378" spans="1:19" x14ac:dyDescent="0.25">
      <c r="A378"/>
      <c r="B378"/>
      <c r="C378" s="2" t="str">
        <f t="shared" si="128"/>
        <v/>
      </c>
      <c r="D378" s="30" t="str">
        <f t="shared" si="129"/>
        <v/>
      </c>
      <c r="E378" s="23" t="str">
        <f t="shared" si="138"/>
        <v/>
      </c>
      <c r="F378" s="23" t="str">
        <f t="shared" si="141"/>
        <v/>
      </c>
      <c r="G378" s="52">
        <f t="shared" si="126"/>
        <v>0</v>
      </c>
      <c r="H378" s="30">
        <f t="shared" si="130"/>
        <v>0</v>
      </c>
      <c r="I378" s="24"/>
      <c r="K378" s="30">
        <f t="shared" si="132"/>
        <v>0</v>
      </c>
      <c r="L378" s="30" t="str">
        <f t="shared" si="133"/>
        <v/>
      </c>
      <c r="M378" s="30" t="e">
        <f t="shared" si="146"/>
        <v>#VALUE!</v>
      </c>
      <c r="N378" s="30"/>
    </row>
    <row r="379" spans="1:19" x14ac:dyDescent="0.25">
      <c r="A379"/>
      <c r="B379"/>
      <c r="C379" s="2" t="str">
        <f t="shared" si="128"/>
        <v/>
      </c>
      <c r="D379" s="30" t="str">
        <f t="shared" si="129"/>
        <v/>
      </c>
      <c r="E379" s="23" t="str">
        <f t="shared" si="138"/>
        <v/>
      </c>
      <c r="F379" s="23" t="str">
        <f t="shared" si="141"/>
        <v/>
      </c>
      <c r="G379" s="52">
        <f t="shared" si="126"/>
        <v>0</v>
      </c>
      <c r="H379" s="30">
        <f t="shared" si="130"/>
        <v>0</v>
      </c>
      <c r="I379" s="24"/>
      <c r="K379" s="30">
        <f t="shared" si="132"/>
        <v>0</v>
      </c>
      <c r="L379" s="30" t="str">
        <f t="shared" si="133"/>
        <v/>
      </c>
      <c r="M379" s="30" t="e">
        <f t="shared" si="146"/>
        <v>#VALUE!</v>
      </c>
      <c r="N379" s="30"/>
    </row>
    <row r="380" spans="1:19" x14ac:dyDescent="0.25">
      <c r="A380"/>
      <c r="B380"/>
      <c r="C380" s="2" t="str">
        <f t="shared" si="128"/>
        <v/>
      </c>
      <c r="D380" s="30" t="str">
        <f t="shared" si="129"/>
        <v/>
      </c>
      <c r="E380" s="23" t="str">
        <f t="shared" si="138"/>
        <v/>
      </c>
      <c r="F380" s="23" t="str">
        <f t="shared" si="141"/>
        <v/>
      </c>
      <c r="G380" s="52">
        <f t="shared" si="126"/>
        <v>0</v>
      </c>
      <c r="H380" s="30">
        <f t="shared" si="130"/>
        <v>0</v>
      </c>
      <c r="I380" s="24"/>
      <c r="K380" s="30">
        <f t="shared" si="132"/>
        <v>0</v>
      </c>
      <c r="L380" s="30" t="str">
        <f t="shared" si="133"/>
        <v/>
      </c>
      <c r="M380" s="30" t="e">
        <f t="shared" si="146"/>
        <v>#VALUE!</v>
      </c>
      <c r="N380" s="30"/>
    </row>
    <row r="381" spans="1:19" x14ac:dyDescent="0.25">
      <c r="A381"/>
      <c r="B381"/>
      <c r="C381" s="2" t="str">
        <f t="shared" si="128"/>
        <v/>
      </c>
      <c r="D381" s="30" t="str">
        <f t="shared" si="129"/>
        <v/>
      </c>
      <c r="E381" s="23" t="str">
        <f t="shared" si="138"/>
        <v/>
      </c>
      <c r="F381" s="23" t="str">
        <f t="shared" si="141"/>
        <v/>
      </c>
      <c r="G381" s="52">
        <f t="shared" si="126"/>
        <v>0</v>
      </c>
      <c r="H381" s="30">
        <f t="shared" si="130"/>
        <v>0</v>
      </c>
      <c r="I381" s="24"/>
      <c r="K381" s="30">
        <f t="shared" si="132"/>
        <v>0</v>
      </c>
      <c r="L381" s="30" t="str">
        <f t="shared" si="133"/>
        <v/>
      </c>
      <c r="M381" s="30" t="e">
        <f t="shared" si="146"/>
        <v>#VALUE!</v>
      </c>
      <c r="N381" s="30"/>
    </row>
    <row r="382" spans="1:19" x14ac:dyDescent="0.25">
      <c r="A382"/>
      <c r="B382"/>
      <c r="C382" s="2" t="str">
        <f t="shared" si="128"/>
        <v/>
      </c>
      <c r="D382" s="30" t="str">
        <f t="shared" si="129"/>
        <v/>
      </c>
      <c r="E382" s="23" t="str">
        <f t="shared" si="138"/>
        <v/>
      </c>
      <c r="F382" s="23" t="str">
        <f t="shared" si="141"/>
        <v/>
      </c>
      <c r="G382" s="52">
        <f t="shared" si="126"/>
        <v>0</v>
      </c>
      <c r="H382" s="30">
        <f t="shared" si="130"/>
        <v>0</v>
      </c>
      <c r="I382" s="24"/>
      <c r="K382" s="30">
        <f t="shared" si="132"/>
        <v>0</v>
      </c>
      <c r="L382" s="30" t="str">
        <f t="shared" si="133"/>
        <v/>
      </c>
      <c r="M382" s="30" t="e">
        <f t="shared" si="146"/>
        <v>#VALUE!</v>
      </c>
      <c r="N382" s="30"/>
    </row>
    <row r="383" spans="1:19" x14ac:dyDescent="0.25">
      <c r="A383"/>
      <c r="B383"/>
      <c r="C383" s="2" t="str">
        <f t="shared" si="128"/>
        <v/>
      </c>
      <c r="D383" s="30" t="str">
        <f t="shared" si="129"/>
        <v/>
      </c>
      <c r="E383" s="23" t="str">
        <f t="shared" si="138"/>
        <v/>
      </c>
      <c r="F383" s="23" t="str">
        <f t="shared" si="141"/>
        <v/>
      </c>
      <c r="G383" s="52">
        <f t="shared" si="126"/>
        <v>0</v>
      </c>
      <c r="H383" s="30">
        <f t="shared" si="130"/>
        <v>0</v>
      </c>
      <c r="I383" s="24"/>
      <c r="K383" s="30">
        <f t="shared" si="132"/>
        <v>0</v>
      </c>
      <c r="L383" s="30" t="str">
        <f t="shared" si="133"/>
        <v/>
      </c>
      <c r="M383" s="30" t="e">
        <f t="shared" si="146"/>
        <v>#VALUE!</v>
      </c>
      <c r="N383" s="30"/>
    </row>
    <row r="384" spans="1:19" x14ac:dyDescent="0.25">
      <c r="A384"/>
      <c r="B384"/>
      <c r="C384" s="2" t="str">
        <f t="shared" si="128"/>
        <v/>
      </c>
      <c r="D384" s="30" t="str">
        <f t="shared" si="129"/>
        <v/>
      </c>
      <c r="E384" s="23" t="str">
        <f t="shared" si="138"/>
        <v/>
      </c>
      <c r="F384" s="23" t="str">
        <f t="shared" si="141"/>
        <v/>
      </c>
      <c r="G384" s="52">
        <f t="shared" si="126"/>
        <v>0</v>
      </c>
      <c r="H384" s="30">
        <f t="shared" si="130"/>
        <v>0</v>
      </c>
      <c r="I384" s="24"/>
      <c r="K384" s="30">
        <f t="shared" si="132"/>
        <v>0</v>
      </c>
      <c r="L384" s="30" t="str">
        <f t="shared" si="133"/>
        <v/>
      </c>
      <c r="M384" s="30" t="e">
        <f t="shared" si="146"/>
        <v>#VALUE!</v>
      </c>
      <c r="N384" s="30"/>
    </row>
    <row r="385" spans="1:14" x14ac:dyDescent="0.25">
      <c r="A385"/>
      <c r="B385"/>
      <c r="C385" s="2" t="str">
        <f t="shared" si="128"/>
        <v/>
      </c>
      <c r="D385" s="30" t="str">
        <f t="shared" si="129"/>
        <v/>
      </c>
      <c r="E385" s="23" t="str">
        <f t="shared" si="138"/>
        <v/>
      </c>
      <c r="F385" s="23" t="str">
        <f t="shared" si="141"/>
        <v/>
      </c>
      <c r="G385" s="52">
        <f t="shared" si="126"/>
        <v>0</v>
      </c>
      <c r="H385" s="30">
        <f t="shared" si="130"/>
        <v>0</v>
      </c>
      <c r="I385" s="24"/>
      <c r="K385" s="30">
        <f t="shared" si="132"/>
        <v>0</v>
      </c>
      <c r="L385" s="30" t="str">
        <f t="shared" si="133"/>
        <v/>
      </c>
      <c r="M385" s="30" t="e">
        <f t="shared" si="146"/>
        <v>#VALUE!</v>
      </c>
      <c r="N385" s="30"/>
    </row>
    <row r="386" spans="1:14" x14ac:dyDescent="0.25">
      <c r="A386"/>
      <c r="B386"/>
      <c r="C386" s="2" t="str">
        <f t="shared" si="128"/>
        <v/>
      </c>
      <c r="D386" s="30" t="str">
        <f t="shared" si="129"/>
        <v/>
      </c>
      <c r="E386" s="23" t="str">
        <f t="shared" si="138"/>
        <v/>
      </c>
      <c r="F386" s="23" t="str">
        <f t="shared" si="141"/>
        <v/>
      </c>
      <c r="G386" s="52">
        <f t="shared" si="126"/>
        <v>0</v>
      </c>
      <c r="H386" s="30">
        <f t="shared" si="130"/>
        <v>0</v>
      </c>
      <c r="I386" s="24"/>
      <c r="K386" s="30">
        <f t="shared" si="132"/>
        <v>0</v>
      </c>
      <c r="L386" s="30" t="str">
        <f t="shared" si="133"/>
        <v/>
      </c>
      <c r="M386" s="30" t="e">
        <f t="shared" si="146"/>
        <v>#VALUE!</v>
      </c>
      <c r="N386" s="30"/>
    </row>
    <row r="387" spans="1:14" x14ac:dyDescent="0.25">
      <c r="A387"/>
      <c r="B387"/>
      <c r="C387" s="2" t="str">
        <f t="shared" si="128"/>
        <v/>
      </c>
      <c r="D387" s="30" t="str">
        <f t="shared" si="129"/>
        <v/>
      </c>
      <c r="E387" s="23" t="str">
        <f t="shared" si="138"/>
        <v/>
      </c>
      <c r="F387" s="23" t="str">
        <f t="shared" si="141"/>
        <v/>
      </c>
      <c r="G387" s="52">
        <f t="shared" si="126"/>
        <v>0</v>
      </c>
      <c r="H387" s="30">
        <f t="shared" si="130"/>
        <v>0</v>
      </c>
      <c r="I387" s="24"/>
      <c r="K387" s="30">
        <f t="shared" si="132"/>
        <v>0</v>
      </c>
      <c r="L387" s="30" t="str">
        <f t="shared" si="133"/>
        <v/>
      </c>
      <c r="M387" s="30" t="e">
        <f t="shared" si="146"/>
        <v>#VALUE!</v>
      </c>
      <c r="N387" s="30"/>
    </row>
    <row r="388" spans="1:14" x14ac:dyDescent="0.25">
      <c r="A388"/>
      <c r="B388"/>
      <c r="C388" s="2" t="str">
        <f t="shared" si="128"/>
        <v/>
      </c>
      <c r="D388" s="30" t="str">
        <f t="shared" si="129"/>
        <v/>
      </c>
      <c r="E388" s="23" t="str">
        <f t="shared" si="138"/>
        <v/>
      </c>
      <c r="F388" s="23" t="str">
        <f t="shared" si="141"/>
        <v/>
      </c>
      <c r="G388" s="52">
        <f t="shared" si="126"/>
        <v>0</v>
      </c>
      <c r="H388" s="30">
        <f t="shared" si="130"/>
        <v>0</v>
      </c>
      <c r="I388" s="24"/>
      <c r="K388" s="30">
        <f t="shared" si="132"/>
        <v>0</v>
      </c>
      <c r="L388" s="30" t="str">
        <f t="shared" si="133"/>
        <v/>
      </c>
      <c r="M388" s="30" t="e">
        <f t="shared" si="146"/>
        <v>#VALUE!</v>
      </c>
      <c r="N388" s="30"/>
    </row>
    <row r="389" spans="1:14" x14ac:dyDescent="0.25">
      <c r="A389"/>
      <c r="B389"/>
      <c r="C389" s="2" t="str">
        <f t="shared" si="128"/>
        <v/>
      </c>
      <c r="D389" s="30" t="str">
        <f t="shared" si="129"/>
        <v/>
      </c>
      <c r="E389" s="23" t="str">
        <f t="shared" si="138"/>
        <v/>
      </c>
      <c r="F389" s="23" t="str">
        <f t="shared" si="141"/>
        <v/>
      </c>
      <c r="G389" s="52">
        <f t="shared" si="126"/>
        <v>0</v>
      </c>
      <c r="H389" s="30">
        <f t="shared" si="130"/>
        <v>0</v>
      </c>
      <c r="I389" s="24"/>
      <c r="K389" s="30">
        <f t="shared" si="132"/>
        <v>0</v>
      </c>
      <c r="L389" s="30" t="str">
        <f t="shared" si="133"/>
        <v/>
      </c>
      <c r="M389" s="30" t="e">
        <f t="shared" si="146"/>
        <v>#VALUE!</v>
      </c>
      <c r="N389" s="30"/>
    </row>
    <row r="390" spans="1:14" x14ac:dyDescent="0.25">
      <c r="A390"/>
      <c r="B390"/>
      <c r="C390" s="2" t="str">
        <f t="shared" si="128"/>
        <v/>
      </c>
      <c r="D390" s="30" t="str">
        <f t="shared" si="129"/>
        <v/>
      </c>
      <c r="E390" s="23" t="str">
        <f t="shared" si="138"/>
        <v/>
      </c>
      <c r="F390" s="23" t="str">
        <f t="shared" si="141"/>
        <v/>
      </c>
      <c r="G390" s="52">
        <f t="shared" si="126"/>
        <v>0</v>
      </c>
      <c r="H390" s="30">
        <f t="shared" si="130"/>
        <v>0</v>
      </c>
      <c r="I390" s="24"/>
      <c r="K390" s="30">
        <f t="shared" si="132"/>
        <v>0</v>
      </c>
      <c r="L390" s="30" t="str">
        <f t="shared" si="133"/>
        <v/>
      </c>
      <c r="M390" s="30" t="e">
        <f t="shared" si="146"/>
        <v>#VALUE!</v>
      </c>
      <c r="N390" s="30"/>
    </row>
    <row r="391" spans="1:14" x14ac:dyDescent="0.25">
      <c r="A391"/>
      <c r="B391"/>
      <c r="C391" s="2" t="str">
        <f t="shared" si="128"/>
        <v/>
      </c>
      <c r="D391" s="30" t="str">
        <f t="shared" si="129"/>
        <v/>
      </c>
      <c r="E391" s="23" t="str">
        <f t="shared" si="138"/>
        <v/>
      </c>
      <c r="F391" s="23" t="str">
        <f t="shared" si="141"/>
        <v/>
      </c>
      <c r="G391" s="52">
        <f t="shared" si="126"/>
        <v>0</v>
      </c>
      <c r="H391" s="30">
        <f t="shared" si="130"/>
        <v>0</v>
      </c>
      <c r="I391" s="24"/>
      <c r="K391" s="30">
        <f t="shared" si="132"/>
        <v>0</v>
      </c>
      <c r="L391" s="30" t="str">
        <f t="shared" si="133"/>
        <v/>
      </c>
      <c r="M391" s="30" t="e">
        <f t="shared" si="146"/>
        <v>#VALUE!</v>
      </c>
      <c r="N391" s="30"/>
    </row>
    <row r="392" spans="1:14" x14ac:dyDescent="0.25">
      <c r="A392"/>
      <c r="B392"/>
      <c r="C392" s="2" t="str">
        <f t="shared" si="128"/>
        <v/>
      </c>
      <c r="D392" s="30" t="str">
        <f t="shared" si="129"/>
        <v/>
      </c>
      <c r="E392" s="23" t="str">
        <f t="shared" si="138"/>
        <v/>
      </c>
      <c r="F392" s="23" t="str">
        <f t="shared" si="141"/>
        <v/>
      </c>
      <c r="G392" s="52">
        <f t="shared" si="126"/>
        <v>0</v>
      </c>
      <c r="H392" s="30">
        <f t="shared" si="130"/>
        <v>0</v>
      </c>
      <c r="I392" s="24"/>
      <c r="K392" s="30">
        <f t="shared" si="132"/>
        <v>0</v>
      </c>
      <c r="L392" s="30" t="str">
        <f t="shared" si="133"/>
        <v/>
      </c>
      <c r="M392" s="30" t="e">
        <f t="shared" si="146"/>
        <v>#VALUE!</v>
      </c>
      <c r="N392" s="30"/>
    </row>
    <row r="393" spans="1:14" x14ac:dyDescent="0.25">
      <c r="A393"/>
      <c r="B393"/>
      <c r="C393" s="2" t="str">
        <f t="shared" si="128"/>
        <v/>
      </c>
      <c r="D393" s="30" t="str">
        <f t="shared" si="129"/>
        <v/>
      </c>
      <c r="E393" s="23" t="str">
        <f t="shared" si="138"/>
        <v/>
      </c>
      <c r="F393" s="23" t="str">
        <f t="shared" si="141"/>
        <v/>
      </c>
      <c r="G393" s="52">
        <f t="shared" si="126"/>
        <v>0</v>
      </c>
      <c r="H393" s="30">
        <f t="shared" si="130"/>
        <v>0</v>
      </c>
      <c r="I393" s="24"/>
      <c r="K393" s="30">
        <f t="shared" si="132"/>
        <v>0</v>
      </c>
      <c r="L393" s="30" t="str">
        <f t="shared" si="133"/>
        <v/>
      </c>
      <c r="M393" s="30" t="e">
        <f t="shared" si="146"/>
        <v>#VALUE!</v>
      </c>
      <c r="N393" s="30"/>
    </row>
    <row r="394" spans="1:14" x14ac:dyDescent="0.25">
      <c r="A394"/>
      <c r="B394"/>
      <c r="C394" s="2" t="str">
        <f t="shared" si="128"/>
        <v/>
      </c>
      <c r="D394" s="30" t="str">
        <f t="shared" si="129"/>
        <v/>
      </c>
      <c r="E394" s="23" t="str">
        <f t="shared" si="138"/>
        <v/>
      </c>
      <c r="F394" s="23" t="str">
        <f t="shared" si="141"/>
        <v/>
      </c>
      <c r="G394" s="52">
        <f t="shared" si="126"/>
        <v>0</v>
      </c>
      <c r="H394" s="30">
        <f t="shared" si="130"/>
        <v>0</v>
      </c>
      <c r="I394" s="24"/>
      <c r="K394" s="30">
        <f t="shared" si="132"/>
        <v>0</v>
      </c>
      <c r="L394" s="30" t="str">
        <f t="shared" si="133"/>
        <v/>
      </c>
      <c r="M394" s="30" t="e">
        <f t="shared" si="146"/>
        <v>#VALUE!</v>
      </c>
      <c r="N394" s="30"/>
    </row>
    <row r="395" spans="1:14" x14ac:dyDescent="0.25">
      <c r="A395"/>
      <c r="B395"/>
      <c r="C395" s="2" t="str">
        <f t="shared" si="128"/>
        <v/>
      </c>
      <c r="D395" s="30" t="str">
        <f t="shared" si="129"/>
        <v/>
      </c>
      <c r="E395" s="23" t="str">
        <f t="shared" si="138"/>
        <v/>
      </c>
      <c r="F395" s="23" t="str">
        <f t="shared" si="141"/>
        <v/>
      </c>
      <c r="G395" s="52">
        <f t="shared" si="126"/>
        <v>0</v>
      </c>
      <c r="H395" s="30">
        <f t="shared" si="130"/>
        <v>0</v>
      </c>
      <c r="I395" s="24"/>
      <c r="K395" s="30">
        <f t="shared" si="132"/>
        <v>0</v>
      </c>
      <c r="L395" s="30" t="str">
        <f t="shared" si="133"/>
        <v/>
      </c>
      <c r="M395" s="30" t="e">
        <f t="shared" si="146"/>
        <v>#VALUE!</v>
      </c>
      <c r="N395" s="30"/>
    </row>
    <row r="396" spans="1:14" x14ac:dyDescent="0.25">
      <c r="A396"/>
      <c r="B396"/>
      <c r="C396" s="2" t="str">
        <f t="shared" si="128"/>
        <v/>
      </c>
      <c r="D396" s="30" t="str">
        <f t="shared" si="129"/>
        <v/>
      </c>
      <c r="E396" s="23" t="str">
        <f t="shared" si="138"/>
        <v/>
      </c>
      <c r="F396" s="23" t="str">
        <f t="shared" si="141"/>
        <v/>
      </c>
      <c r="G396" s="52">
        <f t="shared" si="126"/>
        <v>0</v>
      </c>
      <c r="H396" s="30">
        <f t="shared" si="130"/>
        <v>0</v>
      </c>
      <c r="I396" s="24"/>
      <c r="K396" s="30">
        <f t="shared" si="132"/>
        <v>0</v>
      </c>
      <c r="L396" s="30" t="str">
        <f t="shared" si="133"/>
        <v/>
      </c>
      <c r="M396" s="30" t="e">
        <f t="shared" si="146"/>
        <v>#VALUE!</v>
      </c>
      <c r="N396" s="30"/>
    </row>
    <row r="397" spans="1:14" x14ac:dyDescent="0.25">
      <c r="A397"/>
      <c r="B397"/>
      <c r="C397" s="2" t="str">
        <f t="shared" si="128"/>
        <v/>
      </c>
      <c r="D397" s="30" t="str">
        <f t="shared" si="129"/>
        <v/>
      </c>
      <c r="E397" s="23" t="str">
        <f t="shared" si="138"/>
        <v/>
      </c>
      <c r="F397" s="23" t="str">
        <f t="shared" si="141"/>
        <v/>
      </c>
      <c r="G397" s="52">
        <f t="shared" ref="G397:G460" si="147">+IF(C397="",0,$H$4)</f>
        <v>0</v>
      </c>
      <c r="H397" s="30">
        <f t="shared" si="130"/>
        <v>0</v>
      </c>
      <c r="I397" s="24"/>
      <c r="K397" s="30">
        <f t="shared" si="132"/>
        <v>0</v>
      </c>
      <c r="L397" s="30" t="str">
        <f t="shared" si="133"/>
        <v/>
      </c>
      <c r="M397" s="30" t="e">
        <f t="shared" si="146"/>
        <v>#VALUE!</v>
      </c>
      <c r="N397" s="30"/>
    </row>
    <row r="398" spans="1:14" x14ac:dyDescent="0.25">
      <c r="A398"/>
      <c r="B398"/>
      <c r="C398" s="2" t="str">
        <f t="shared" ref="C398:C461" si="148">+IF(L397&gt;1,IF(C397="","",C397+1),"")</f>
        <v/>
      </c>
      <c r="D398" s="30" t="str">
        <f t="shared" ref="D398:D461" si="149">+IF(C398="","",L397)</f>
        <v/>
      </c>
      <c r="E398" s="23" t="str">
        <f t="shared" si="138"/>
        <v/>
      </c>
      <c r="F398" s="23" t="str">
        <f t="shared" si="141"/>
        <v/>
      </c>
      <c r="G398" s="52">
        <f t="shared" si="147"/>
        <v>0</v>
      </c>
      <c r="H398" s="30">
        <f t="shared" ref="H398:H461" si="150">+IF(C398="",0,IF(D398&lt;$D$4*0.8,0,$H$5))</f>
        <v>0</v>
      </c>
      <c r="I398" s="24"/>
      <c r="K398" s="30">
        <f t="shared" ref="K398:K461" si="151">+IF(C398="",0,F398+I398)</f>
        <v>0</v>
      </c>
      <c r="L398" s="30" t="str">
        <f t="shared" ref="L398:L461" si="152">+IF(C398="","",D398-K398)</f>
        <v/>
      </c>
      <c r="M398" s="30" t="e">
        <f t="shared" si="146"/>
        <v>#VALUE!</v>
      </c>
      <c r="N398" s="30"/>
    </row>
    <row r="399" spans="1:14" x14ac:dyDescent="0.25">
      <c r="A399"/>
      <c r="B399"/>
      <c r="C399" s="2" t="str">
        <f t="shared" si="148"/>
        <v/>
      </c>
      <c r="D399" s="30" t="str">
        <f t="shared" si="149"/>
        <v/>
      </c>
      <c r="E399" s="23" t="str">
        <f t="shared" si="138"/>
        <v/>
      </c>
      <c r="F399" s="23" t="str">
        <f t="shared" si="141"/>
        <v/>
      </c>
      <c r="G399" s="52">
        <f t="shared" si="147"/>
        <v>0</v>
      </c>
      <c r="H399" s="30">
        <f t="shared" si="150"/>
        <v>0</v>
      </c>
      <c r="I399" s="24"/>
      <c r="K399" s="30">
        <f t="shared" si="151"/>
        <v>0</v>
      </c>
      <c r="L399" s="30" t="str">
        <f t="shared" si="152"/>
        <v/>
      </c>
      <c r="M399" s="30" t="e">
        <f t="shared" si="146"/>
        <v>#VALUE!</v>
      </c>
      <c r="N399" s="30"/>
    </row>
    <row r="400" spans="1:14" x14ac:dyDescent="0.25">
      <c r="A400"/>
      <c r="B400"/>
      <c r="C400" s="2" t="str">
        <f t="shared" si="148"/>
        <v/>
      </c>
      <c r="D400" s="30" t="str">
        <f t="shared" si="149"/>
        <v/>
      </c>
      <c r="E400" s="23" t="str">
        <f t="shared" si="138"/>
        <v/>
      </c>
      <c r="F400" s="23" t="str">
        <f t="shared" si="141"/>
        <v/>
      </c>
      <c r="G400" s="52">
        <f t="shared" si="147"/>
        <v>0</v>
      </c>
      <c r="H400" s="30">
        <f t="shared" si="150"/>
        <v>0</v>
      </c>
      <c r="I400" s="24"/>
      <c r="K400" s="30">
        <f t="shared" si="151"/>
        <v>0</v>
      </c>
      <c r="L400" s="30" t="str">
        <f t="shared" si="152"/>
        <v/>
      </c>
      <c r="M400" s="30" t="e">
        <f t="shared" si="146"/>
        <v>#VALUE!</v>
      </c>
      <c r="N400" s="30"/>
    </row>
    <row r="401" spans="1:14" x14ac:dyDescent="0.25">
      <c r="A401"/>
      <c r="B401"/>
      <c r="C401" s="2" t="str">
        <f t="shared" si="148"/>
        <v/>
      </c>
      <c r="D401" s="30" t="str">
        <f t="shared" si="149"/>
        <v/>
      </c>
      <c r="E401" s="23" t="str">
        <f t="shared" ref="E401:E464" si="153">IF(C401="","",($D$5/12)*D401)</f>
        <v/>
      </c>
      <c r="F401" s="23" t="str">
        <f t="shared" si="141"/>
        <v/>
      </c>
      <c r="G401" s="52">
        <f t="shared" si="147"/>
        <v>0</v>
      </c>
      <c r="H401" s="30">
        <f t="shared" si="150"/>
        <v>0</v>
      </c>
      <c r="I401" s="24"/>
      <c r="K401" s="30">
        <f t="shared" si="151"/>
        <v>0</v>
      </c>
      <c r="L401" s="30" t="str">
        <f t="shared" si="152"/>
        <v/>
      </c>
      <c r="M401" s="30" t="e">
        <f t="shared" si="146"/>
        <v>#VALUE!</v>
      </c>
      <c r="N401" s="30"/>
    </row>
    <row r="402" spans="1:14" x14ac:dyDescent="0.25">
      <c r="A402"/>
      <c r="B402"/>
      <c r="C402" s="2" t="str">
        <f t="shared" si="148"/>
        <v/>
      </c>
      <c r="D402" s="30" t="str">
        <f t="shared" si="149"/>
        <v/>
      </c>
      <c r="E402" s="23" t="str">
        <f t="shared" si="153"/>
        <v/>
      </c>
      <c r="F402" s="23" t="str">
        <f t="shared" si="141"/>
        <v/>
      </c>
      <c r="G402" s="52">
        <f t="shared" si="147"/>
        <v>0</v>
      </c>
      <c r="H402" s="30">
        <f t="shared" si="150"/>
        <v>0</v>
      </c>
      <c r="I402" s="24"/>
      <c r="K402" s="30">
        <f t="shared" si="151"/>
        <v>0</v>
      </c>
      <c r="L402" s="30" t="str">
        <f t="shared" si="152"/>
        <v/>
      </c>
      <c r="M402" s="30" t="e">
        <f t="shared" si="146"/>
        <v>#VALUE!</v>
      </c>
      <c r="N402" s="30"/>
    </row>
    <row r="403" spans="1:14" x14ac:dyDescent="0.25">
      <c r="A403"/>
      <c r="B403"/>
      <c r="C403" s="2" t="str">
        <f t="shared" si="148"/>
        <v/>
      </c>
      <c r="D403" s="30" t="str">
        <f t="shared" si="149"/>
        <v/>
      </c>
      <c r="E403" s="23" t="str">
        <f t="shared" si="153"/>
        <v/>
      </c>
      <c r="F403" s="23" t="str">
        <f t="shared" ref="F403:F466" si="154">IF(C403="","",$D$8-E403)</f>
        <v/>
      </c>
      <c r="G403" s="52">
        <f t="shared" si="147"/>
        <v>0</v>
      </c>
      <c r="H403" s="30">
        <f t="shared" si="150"/>
        <v>0</v>
      </c>
      <c r="I403" s="24"/>
      <c r="K403" s="30">
        <f t="shared" si="151"/>
        <v>0</v>
      </c>
      <c r="L403" s="30" t="str">
        <f t="shared" si="152"/>
        <v/>
      </c>
      <c r="M403" s="30" t="e">
        <f t="shared" si="146"/>
        <v>#VALUE!</v>
      </c>
      <c r="N403" s="30"/>
    </row>
    <row r="404" spans="1:14" x14ac:dyDescent="0.25">
      <c r="A404"/>
      <c r="B404"/>
      <c r="C404" s="2" t="str">
        <f t="shared" si="148"/>
        <v/>
      </c>
      <c r="D404" s="30" t="str">
        <f t="shared" si="149"/>
        <v/>
      </c>
      <c r="E404" s="23" t="str">
        <f t="shared" si="153"/>
        <v/>
      </c>
      <c r="F404" s="23" t="str">
        <f t="shared" si="154"/>
        <v/>
      </c>
      <c r="G404" s="52">
        <f t="shared" si="147"/>
        <v>0</v>
      </c>
      <c r="H404" s="30">
        <f t="shared" si="150"/>
        <v>0</v>
      </c>
      <c r="I404" s="24"/>
      <c r="K404" s="30">
        <f t="shared" si="151"/>
        <v>0</v>
      </c>
      <c r="L404" s="30" t="str">
        <f t="shared" si="152"/>
        <v/>
      </c>
      <c r="M404" s="30" t="e">
        <f t="shared" si="146"/>
        <v>#VALUE!</v>
      </c>
      <c r="N404" s="30"/>
    </row>
    <row r="405" spans="1:14" x14ac:dyDescent="0.25">
      <c r="A405"/>
      <c r="B405"/>
      <c r="C405" s="2" t="str">
        <f t="shared" si="148"/>
        <v/>
      </c>
      <c r="D405" s="30" t="str">
        <f t="shared" si="149"/>
        <v/>
      </c>
      <c r="E405" s="23" t="str">
        <f t="shared" si="153"/>
        <v/>
      </c>
      <c r="F405" s="23" t="str">
        <f t="shared" si="154"/>
        <v/>
      </c>
      <c r="G405" s="52">
        <f t="shared" si="147"/>
        <v>0</v>
      </c>
      <c r="H405" s="30">
        <f t="shared" si="150"/>
        <v>0</v>
      </c>
      <c r="I405" s="24"/>
      <c r="K405" s="30">
        <f t="shared" si="151"/>
        <v>0</v>
      </c>
      <c r="L405" s="30" t="str">
        <f t="shared" si="152"/>
        <v/>
      </c>
      <c r="M405" s="30" t="e">
        <f t="shared" ref="M405:M436" si="155">+I405+H405+G405+F405+E405</f>
        <v>#VALUE!</v>
      </c>
      <c r="N405" s="30"/>
    </row>
    <row r="406" spans="1:14" x14ac:dyDescent="0.25">
      <c r="A406"/>
      <c r="B406"/>
      <c r="C406" s="2" t="str">
        <f t="shared" si="148"/>
        <v/>
      </c>
      <c r="D406" s="30" t="str">
        <f t="shared" si="149"/>
        <v/>
      </c>
      <c r="E406" s="23" t="str">
        <f t="shared" si="153"/>
        <v/>
      </c>
      <c r="F406" s="23" t="str">
        <f t="shared" si="154"/>
        <v/>
      </c>
      <c r="G406" s="52">
        <f t="shared" si="147"/>
        <v>0</v>
      </c>
      <c r="H406" s="30">
        <f t="shared" si="150"/>
        <v>0</v>
      </c>
      <c r="I406" s="24"/>
      <c r="K406" s="30">
        <f t="shared" si="151"/>
        <v>0</v>
      </c>
      <c r="L406" s="30" t="str">
        <f t="shared" si="152"/>
        <v/>
      </c>
      <c r="M406" s="30" t="e">
        <f t="shared" si="155"/>
        <v>#VALUE!</v>
      </c>
      <c r="N406" s="30"/>
    </row>
    <row r="407" spans="1:14" x14ac:dyDescent="0.25">
      <c r="A407"/>
      <c r="B407"/>
      <c r="C407" s="2" t="str">
        <f t="shared" si="148"/>
        <v/>
      </c>
      <c r="D407" s="30" t="str">
        <f t="shared" si="149"/>
        <v/>
      </c>
      <c r="E407" s="23" t="str">
        <f t="shared" si="153"/>
        <v/>
      </c>
      <c r="F407" s="23" t="str">
        <f t="shared" si="154"/>
        <v/>
      </c>
      <c r="G407" s="52">
        <f t="shared" si="147"/>
        <v>0</v>
      </c>
      <c r="H407" s="30">
        <f t="shared" si="150"/>
        <v>0</v>
      </c>
      <c r="I407" s="24"/>
      <c r="K407" s="30">
        <f t="shared" si="151"/>
        <v>0</v>
      </c>
      <c r="L407" s="30" t="str">
        <f t="shared" si="152"/>
        <v/>
      </c>
      <c r="M407" s="30" t="e">
        <f t="shared" si="155"/>
        <v>#VALUE!</v>
      </c>
      <c r="N407" s="30"/>
    </row>
    <row r="408" spans="1:14" x14ac:dyDescent="0.25">
      <c r="A408"/>
      <c r="B408"/>
      <c r="C408" s="2" t="str">
        <f t="shared" si="148"/>
        <v/>
      </c>
      <c r="D408" s="30" t="str">
        <f t="shared" si="149"/>
        <v/>
      </c>
      <c r="E408" s="23" t="str">
        <f t="shared" si="153"/>
        <v/>
      </c>
      <c r="F408" s="23" t="str">
        <f t="shared" si="154"/>
        <v/>
      </c>
      <c r="G408" s="52">
        <f t="shared" si="147"/>
        <v>0</v>
      </c>
      <c r="H408" s="30">
        <f t="shared" si="150"/>
        <v>0</v>
      </c>
      <c r="I408" s="24"/>
      <c r="K408" s="30">
        <f t="shared" si="151"/>
        <v>0</v>
      </c>
      <c r="L408" s="30" t="str">
        <f t="shared" si="152"/>
        <v/>
      </c>
      <c r="M408" s="30" t="e">
        <f t="shared" si="155"/>
        <v>#VALUE!</v>
      </c>
      <c r="N408" s="30"/>
    </row>
    <row r="409" spans="1:14" x14ac:dyDescent="0.25">
      <c r="A409"/>
      <c r="B409"/>
      <c r="C409" s="2" t="str">
        <f t="shared" si="148"/>
        <v/>
      </c>
      <c r="D409" s="30" t="str">
        <f t="shared" si="149"/>
        <v/>
      </c>
      <c r="E409" s="23" t="str">
        <f t="shared" si="153"/>
        <v/>
      </c>
      <c r="F409" s="23" t="str">
        <f t="shared" si="154"/>
        <v/>
      </c>
      <c r="G409" s="52">
        <f t="shared" si="147"/>
        <v>0</v>
      </c>
      <c r="H409" s="30">
        <f t="shared" si="150"/>
        <v>0</v>
      </c>
      <c r="I409" s="24"/>
      <c r="K409" s="30">
        <f t="shared" si="151"/>
        <v>0</v>
      </c>
      <c r="L409" s="30" t="str">
        <f t="shared" si="152"/>
        <v/>
      </c>
      <c r="M409" s="30" t="e">
        <f t="shared" si="155"/>
        <v>#VALUE!</v>
      </c>
      <c r="N409" s="30"/>
    </row>
    <row r="410" spans="1:14" x14ac:dyDescent="0.25">
      <c r="A410"/>
      <c r="B410"/>
      <c r="C410" s="2" t="str">
        <f t="shared" si="148"/>
        <v/>
      </c>
      <c r="D410" s="30" t="str">
        <f t="shared" si="149"/>
        <v/>
      </c>
      <c r="E410" s="23" t="str">
        <f t="shared" si="153"/>
        <v/>
      </c>
      <c r="F410" s="23" t="str">
        <f t="shared" si="154"/>
        <v/>
      </c>
      <c r="G410" s="52">
        <f t="shared" si="147"/>
        <v>0</v>
      </c>
      <c r="H410" s="30">
        <f t="shared" si="150"/>
        <v>0</v>
      </c>
      <c r="I410" s="24"/>
      <c r="K410" s="30">
        <f t="shared" si="151"/>
        <v>0</v>
      </c>
      <c r="L410" s="30" t="str">
        <f t="shared" si="152"/>
        <v/>
      </c>
      <c r="M410" s="30" t="e">
        <f t="shared" si="155"/>
        <v>#VALUE!</v>
      </c>
      <c r="N410" s="30"/>
    </row>
    <row r="411" spans="1:14" x14ac:dyDescent="0.25">
      <c r="A411"/>
      <c r="B411"/>
      <c r="C411" s="2" t="str">
        <f t="shared" si="148"/>
        <v/>
      </c>
      <c r="D411" s="30" t="str">
        <f t="shared" si="149"/>
        <v/>
      </c>
      <c r="E411" s="23" t="str">
        <f t="shared" si="153"/>
        <v/>
      </c>
      <c r="F411" s="23" t="str">
        <f t="shared" si="154"/>
        <v/>
      </c>
      <c r="G411" s="52">
        <f t="shared" si="147"/>
        <v>0</v>
      </c>
      <c r="H411" s="30">
        <f t="shared" si="150"/>
        <v>0</v>
      </c>
      <c r="I411" s="24"/>
      <c r="K411" s="30">
        <f t="shared" si="151"/>
        <v>0</v>
      </c>
      <c r="L411" s="30" t="str">
        <f t="shared" si="152"/>
        <v/>
      </c>
      <c r="M411" s="30" t="e">
        <f t="shared" si="155"/>
        <v>#VALUE!</v>
      </c>
      <c r="N411" s="30"/>
    </row>
    <row r="412" spans="1:14" x14ac:dyDescent="0.25">
      <c r="A412"/>
      <c r="B412"/>
      <c r="C412" s="2" t="str">
        <f t="shared" si="148"/>
        <v/>
      </c>
      <c r="D412" s="30" t="str">
        <f t="shared" si="149"/>
        <v/>
      </c>
      <c r="E412" s="23" t="str">
        <f t="shared" si="153"/>
        <v/>
      </c>
      <c r="F412" s="23" t="str">
        <f t="shared" si="154"/>
        <v/>
      </c>
      <c r="G412" s="52">
        <f t="shared" si="147"/>
        <v>0</v>
      </c>
      <c r="H412" s="30">
        <f t="shared" si="150"/>
        <v>0</v>
      </c>
      <c r="I412" s="24"/>
      <c r="K412" s="30">
        <f t="shared" si="151"/>
        <v>0</v>
      </c>
      <c r="L412" s="30" t="str">
        <f t="shared" si="152"/>
        <v/>
      </c>
      <c r="M412" s="30" t="e">
        <f t="shared" si="155"/>
        <v>#VALUE!</v>
      </c>
      <c r="N412" s="30"/>
    </row>
    <row r="413" spans="1:14" x14ac:dyDescent="0.25">
      <c r="A413"/>
      <c r="B413"/>
      <c r="C413" s="2" t="str">
        <f t="shared" si="148"/>
        <v/>
      </c>
      <c r="D413" s="30" t="str">
        <f t="shared" si="149"/>
        <v/>
      </c>
      <c r="E413" s="23" t="str">
        <f t="shared" si="153"/>
        <v/>
      </c>
      <c r="F413" s="23" t="str">
        <f t="shared" si="154"/>
        <v/>
      </c>
      <c r="G413" s="52">
        <f t="shared" si="147"/>
        <v>0</v>
      </c>
      <c r="H413" s="30">
        <f t="shared" si="150"/>
        <v>0</v>
      </c>
      <c r="I413" s="24"/>
      <c r="K413" s="30">
        <f t="shared" si="151"/>
        <v>0</v>
      </c>
      <c r="L413" s="30" t="str">
        <f t="shared" si="152"/>
        <v/>
      </c>
      <c r="M413" s="30" t="e">
        <f t="shared" si="155"/>
        <v>#VALUE!</v>
      </c>
      <c r="N413" s="30"/>
    </row>
    <row r="414" spans="1:14" x14ac:dyDescent="0.25">
      <c r="A414"/>
      <c r="B414"/>
      <c r="C414" s="2" t="str">
        <f t="shared" si="148"/>
        <v/>
      </c>
      <c r="D414" s="30" t="str">
        <f t="shared" si="149"/>
        <v/>
      </c>
      <c r="E414" s="23" t="str">
        <f t="shared" si="153"/>
        <v/>
      </c>
      <c r="F414" s="23" t="str">
        <f t="shared" si="154"/>
        <v/>
      </c>
      <c r="G414" s="52">
        <f t="shared" si="147"/>
        <v>0</v>
      </c>
      <c r="H414" s="30">
        <f t="shared" si="150"/>
        <v>0</v>
      </c>
      <c r="I414" s="24"/>
      <c r="K414" s="30">
        <f t="shared" si="151"/>
        <v>0</v>
      </c>
      <c r="L414" s="30" t="str">
        <f t="shared" si="152"/>
        <v/>
      </c>
      <c r="M414" s="30" t="e">
        <f t="shared" si="155"/>
        <v>#VALUE!</v>
      </c>
      <c r="N414" s="30"/>
    </row>
    <row r="415" spans="1:14" x14ac:dyDescent="0.25">
      <c r="A415"/>
      <c r="B415"/>
      <c r="C415" s="2" t="str">
        <f t="shared" si="148"/>
        <v/>
      </c>
      <c r="D415" s="30" t="str">
        <f t="shared" si="149"/>
        <v/>
      </c>
      <c r="E415" s="23" t="str">
        <f t="shared" si="153"/>
        <v/>
      </c>
      <c r="F415" s="23" t="str">
        <f t="shared" si="154"/>
        <v/>
      </c>
      <c r="G415" s="52">
        <f t="shared" si="147"/>
        <v>0</v>
      </c>
      <c r="H415" s="30">
        <f t="shared" si="150"/>
        <v>0</v>
      </c>
      <c r="I415" s="24"/>
      <c r="K415" s="30">
        <f t="shared" si="151"/>
        <v>0</v>
      </c>
      <c r="L415" s="30" t="str">
        <f t="shared" si="152"/>
        <v/>
      </c>
      <c r="M415" s="30" t="e">
        <f t="shared" si="155"/>
        <v>#VALUE!</v>
      </c>
      <c r="N415" s="30"/>
    </row>
    <row r="416" spans="1:14" x14ac:dyDescent="0.25">
      <c r="A416"/>
      <c r="B416"/>
      <c r="C416" s="2" t="str">
        <f t="shared" si="148"/>
        <v/>
      </c>
      <c r="D416" s="30" t="str">
        <f t="shared" si="149"/>
        <v/>
      </c>
      <c r="E416" s="23" t="str">
        <f t="shared" si="153"/>
        <v/>
      </c>
      <c r="F416" s="23" t="str">
        <f t="shared" si="154"/>
        <v/>
      </c>
      <c r="G416" s="52">
        <f t="shared" si="147"/>
        <v>0</v>
      </c>
      <c r="H416" s="30">
        <f t="shared" si="150"/>
        <v>0</v>
      </c>
      <c r="I416" s="24"/>
      <c r="K416" s="30">
        <f t="shared" si="151"/>
        <v>0</v>
      </c>
      <c r="L416" s="30" t="str">
        <f t="shared" si="152"/>
        <v/>
      </c>
      <c r="M416" s="30" t="e">
        <f t="shared" si="155"/>
        <v>#VALUE!</v>
      </c>
      <c r="N416" s="30"/>
    </row>
    <row r="417" spans="1:14" x14ac:dyDescent="0.25">
      <c r="A417"/>
      <c r="B417"/>
      <c r="C417" s="2" t="str">
        <f t="shared" si="148"/>
        <v/>
      </c>
      <c r="D417" s="30" t="str">
        <f t="shared" si="149"/>
        <v/>
      </c>
      <c r="E417" s="23" t="str">
        <f t="shared" si="153"/>
        <v/>
      </c>
      <c r="F417" s="23" t="str">
        <f t="shared" si="154"/>
        <v/>
      </c>
      <c r="G417" s="52">
        <f t="shared" si="147"/>
        <v>0</v>
      </c>
      <c r="H417" s="30">
        <f t="shared" si="150"/>
        <v>0</v>
      </c>
      <c r="I417" s="24"/>
      <c r="K417" s="30">
        <f t="shared" si="151"/>
        <v>0</v>
      </c>
      <c r="L417" s="30" t="str">
        <f t="shared" si="152"/>
        <v/>
      </c>
      <c r="M417" s="30" t="e">
        <f t="shared" si="155"/>
        <v>#VALUE!</v>
      </c>
      <c r="N417" s="30"/>
    </row>
    <row r="418" spans="1:14" x14ac:dyDescent="0.25">
      <c r="A418"/>
      <c r="B418"/>
      <c r="C418" s="2" t="str">
        <f t="shared" si="148"/>
        <v/>
      </c>
      <c r="D418" s="30" t="str">
        <f t="shared" si="149"/>
        <v/>
      </c>
      <c r="E418" s="23" t="str">
        <f t="shared" si="153"/>
        <v/>
      </c>
      <c r="F418" s="23" t="str">
        <f t="shared" si="154"/>
        <v/>
      </c>
      <c r="G418" s="52">
        <f t="shared" si="147"/>
        <v>0</v>
      </c>
      <c r="H418" s="30">
        <f t="shared" si="150"/>
        <v>0</v>
      </c>
      <c r="I418" s="24"/>
      <c r="K418" s="30">
        <f t="shared" si="151"/>
        <v>0</v>
      </c>
      <c r="L418" s="30" t="str">
        <f t="shared" si="152"/>
        <v/>
      </c>
      <c r="M418" s="30" t="e">
        <f t="shared" si="155"/>
        <v>#VALUE!</v>
      </c>
      <c r="N418" s="30"/>
    </row>
    <row r="419" spans="1:14" x14ac:dyDescent="0.25">
      <c r="A419"/>
      <c r="B419"/>
      <c r="C419" s="2" t="str">
        <f t="shared" si="148"/>
        <v/>
      </c>
      <c r="D419" s="30" t="str">
        <f t="shared" si="149"/>
        <v/>
      </c>
      <c r="E419" s="23" t="str">
        <f t="shared" si="153"/>
        <v/>
      </c>
      <c r="F419" s="23" t="str">
        <f t="shared" si="154"/>
        <v/>
      </c>
      <c r="G419" s="52">
        <f t="shared" si="147"/>
        <v>0</v>
      </c>
      <c r="H419" s="30">
        <f t="shared" si="150"/>
        <v>0</v>
      </c>
      <c r="I419" s="24"/>
      <c r="K419" s="30">
        <f t="shared" si="151"/>
        <v>0</v>
      </c>
      <c r="L419" s="30" t="str">
        <f t="shared" si="152"/>
        <v/>
      </c>
      <c r="M419" s="30" t="e">
        <f t="shared" si="155"/>
        <v>#VALUE!</v>
      </c>
      <c r="N419" s="30"/>
    </row>
    <row r="420" spans="1:14" x14ac:dyDescent="0.25">
      <c r="A420"/>
      <c r="B420"/>
      <c r="C420" s="2" t="str">
        <f t="shared" si="148"/>
        <v/>
      </c>
      <c r="D420" s="30" t="str">
        <f t="shared" si="149"/>
        <v/>
      </c>
      <c r="E420" s="23" t="str">
        <f t="shared" si="153"/>
        <v/>
      </c>
      <c r="F420" s="23" t="str">
        <f t="shared" si="154"/>
        <v/>
      </c>
      <c r="G420" s="52">
        <f t="shared" si="147"/>
        <v>0</v>
      </c>
      <c r="H420" s="30">
        <f t="shared" si="150"/>
        <v>0</v>
      </c>
      <c r="I420" s="24"/>
      <c r="K420" s="30">
        <f t="shared" si="151"/>
        <v>0</v>
      </c>
      <c r="L420" s="30" t="str">
        <f t="shared" si="152"/>
        <v/>
      </c>
      <c r="M420" s="30" t="e">
        <f t="shared" si="155"/>
        <v>#VALUE!</v>
      </c>
      <c r="N420" s="30"/>
    </row>
    <row r="421" spans="1:14" x14ac:dyDescent="0.25">
      <c r="A421"/>
      <c r="B421"/>
      <c r="C421" s="2" t="str">
        <f t="shared" si="148"/>
        <v/>
      </c>
      <c r="D421" s="30" t="str">
        <f t="shared" si="149"/>
        <v/>
      </c>
      <c r="E421" s="23" t="str">
        <f t="shared" si="153"/>
        <v/>
      </c>
      <c r="F421" s="23" t="str">
        <f t="shared" si="154"/>
        <v/>
      </c>
      <c r="G421" s="52">
        <f t="shared" si="147"/>
        <v>0</v>
      </c>
      <c r="H421" s="30">
        <f t="shared" si="150"/>
        <v>0</v>
      </c>
      <c r="I421" s="24"/>
      <c r="K421" s="30">
        <f t="shared" si="151"/>
        <v>0</v>
      </c>
      <c r="L421" s="30" t="str">
        <f t="shared" si="152"/>
        <v/>
      </c>
      <c r="M421" s="30" t="e">
        <f t="shared" si="155"/>
        <v>#VALUE!</v>
      </c>
      <c r="N421" s="30"/>
    </row>
    <row r="422" spans="1:14" x14ac:dyDescent="0.25">
      <c r="A422"/>
      <c r="B422"/>
      <c r="C422" s="2" t="str">
        <f t="shared" si="148"/>
        <v/>
      </c>
      <c r="D422" s="30" t="str">
        <f t="shared" si="149"/>
        <v/>
      </c>
      <c r="E422" s="23" t="str">
        <f t="shared" si="153"/>
        <v/>
      </c>
      <c r="F422" s="23" t="str">
        <f t="shared" si="154"/>
        <v/>
      </c>
      <c r="G422" s="52">
        <f t="shared" si="147"/>
        <v>0</v>
      </c>
      <c r="H422" s="30">
        <f t="shared" si="150"/>
        <v>0</v>
      </c>
      <c r="I422" s="24"/>
      <c r="K422" s="30">
        <f t="shared" si="151"/>
        <v>0</v>
      </c>
      <c r="L422" s="30" t="str">
        <f t="shared" si="152"/>
        <v/>
      </c>
      <c r="M422" s="30" t="e">
        <f t="shared" si="155"/>
        <v>#VALUE!</v>
      </c>
      <c r="N422" s="30"/>
    </row>
    <row r="423" spans="1:14" x14ac:dyDescent="0.25">
      <c r="A423"/>
      <c r="B423"/>
      <c r="C423" s="2" t="str">
        <f t="shared" si="148"/>
        <v/>
      </c>
      <c r="D423" s="30" t="str">
        <f t="shared" si="149"/>
        <v/>
      </c>
      <c r="E423" s="23" t="str">
        <f t="shared" si="153"/>
        <v/>
      </c>
      <c r="F423" s="23" t="str">
        <f t="shared" si="154"/>
        <v/>
      </c>
      <c r="G423" s="52">
        <f t="shared" si="147"/>
        <v>0</v>
      </c>
      <c r="H423" s="30">
        <f t="shared" si="150"/>
        <v>0</v>
      </c>
      <c r="I423" s="24"/>
      <c r="K423" s="30">
        <f t="shared" si="151"/>
        <v>0</v>
      </c>
      <c r="L423" s="30" t="str">
        <f t="shared" si="152"/>
        <v/>
      </c>
      <c r="M423" s="30" t="e">
        <f t="shared" si="155"/>
        <v>#VALUE!</v>
      </c>
      <c r="N423" s="30"/>
    </row>
    <row r="424" spans="1:14" x14ac:dyDescent="0.25">
      <c r="A424"/>
      <c r="B424"/>
      <c r="C424" s="2" t="str">
        <f t="shared" si="148"/>
        <v/>
      </c>
      <c r="D424" s="30" t="str">
        <f t="shared" si="149"/>
        <v/>
      </c>
      <c r="E424" s="23" t="str">
        <f t="shared" si="153"/>
        <v/>
      </c>
      <c r="F424" s="23" t="str">
        <f t="shared" si="154"/>
        <v/>
      </c>
      <c r="G424" s="52">
        <f t="shared" si="147"/>
        <v>0</v>
      </c>
      <c r="H424" s="30">
        <f t="shared" si="150"/>
        <v>0</v>
      </c>
      <c r="I424" s="24"/>
      <c r="K424" s="30">
        <f t="shared" si="151"/>
        <v>0</v>
      </c>
      <c r="L424" s="30" t="str">
        <f t="shared" si="152"/>
        <v/>
      </c>
      <c r="M424" s="30" t="e">
        <f t="shared" si="155"/>
        <v>#VALUE!</v>
      </c>
      <c r="N424" s="30"/>
    </row>
    <row r="425" spans="1:14" x14ac:dyDescent="0.25">
      <c r="A425"/>
      <c r="B425"/>
      <c r="C425" s="2" t="str">
        <f t="shared" si="148"/>
        <v/>
      </c>
      <c r="D425" s="30" t="str">
        <f t="shared" si="149"/>
        <v/>
      </c>
      <c r="E425" s="23" t="str">
        <f t="shared" si="153"/>
        <v/>
      </c>
      <c r="F425" s="23" t="str">
        <f t="shared" si="154"/>
        <v/>
      </c>
      <c r="G425" s="52">
        <f t="shared" si="147"/>
        <v>0</v>
      </c>
      <c r="H425" s="30">
        <f t="shared" si="150"/>
        <v>0</v>
      </c>
      <c r="I425" s="24"/>
      <c r="K425" s="30">
        <f t="shared" si="151"/>
        <v>0</v>
      </c>
      <c r="L425" s="30" t="str">
        <f t="shared" si="152"/>
        <v/>
      </c>
      <c r="M425" s="30" t="e">
        <f t="shared" si="155"/>
        <v>#VALUE!</v>
      </c>
      <c r="N425" s="30"/>
    </row>
    <row r="426" spans="1:14" x14ac:dyDescent="0.25">
      <c r="A426"/>
      <c r="B426"/>
      <c r="C426" s="2" t="str">
        <f t="shared" si="148"/>
        <v/>
      </c>
      <c r="D426" s="30" t="str">
        <f t="shared" si="149"/>
        <v/>
      </c>
      <c r="E426" s="23" t="str">
        <f t="shared" si="153"/>
        <v/>
      </c>
      <c r="F426" s="23" t="str">
        <f t="shared" si="154"/>
        <v/>
      </c>
      <c r="G426" s="52">
        <f t="shared" si="147"/>
        <v>0</v>
      </c>
      <c r="H426" s="30">
        <f t="shared" si="150"/>
        <v>0</v>
      </c>
      <c r="I426" s="24"/>
      <c r="K426" s="30">
        <f t="shared" si="151"/>
        <v>0</v>
      </c>
      <c r="L426" s="30" t="str">
        <f t="shared" si="152"/>
        <v/>
      </c>
      <c r="M426" s="30" t="e">
        <f t="shared" si="155"/>
        <v>#VALUE!</v>
      </c>
      <c r="N426" s="30"/>
    </row>
    <row r="427" spans="1:14" x14ac:dyDescent="0.25">
      <c r="A427"/>
      <c r="B427"/>
      <c r="C427" s="2" t="str">
        <f t="shared" si="148"/>
        <v/>
      </c>
      <c r="D427" s="30" t="str">
        <f t="shared" si="149"/>
        <v/>
      </c>
      <c r="E427" s="23" t="str">
        <f t="shared" si="153"/>
        <v/>
      </c>
      <c r="F427" s="23" t="str">
        <f t="shared" si="154"/>
        <v/>
      </c>
      <c r="G427" s="52">
        <f t="shared" si="147"/>
        <v>0</v>
      </c>
      <c r="H427" s="30">
        <f t="shared" si="150"/>
        <v>0</v>
      </c>
      <c r="I427" s="24"/>
      <c r="K427" s="30">
        <f t="shared" si="151"/>
        <v>0</v>
      </c>
      <c r="L427" s="30" t="str">
        <f t="shared" si="152"/>
        <v/>
      </c>
      <c r="M427" s="30" t="e">
        <f t="shared" si="155"/>
        <v>#VALUE!</v>
      </c>
      <c r="N427" s="30"/>
    </row>
    <row r="428" spans="1:14" x14ac:dyDescent="0.25">
      <c r="A428"/>
      <c r="B428"/>
      <c r="C428" s="2" t="str">
        <f t="shared" si="148"/>
        <v/>
      </c>
      <c r="D428" s="30" t="str">
        <f t="shared" si="149"/>
        <v/>
      </c>
      <c r="E428" s="23" t="str">
        <f t="shared" si="153"/>
        <v/>
      </c>
      <c r="F428" s="23" t="str">
        <f t="shared" si="154"/>
        <v/>
      </c>
      <c r="G428" s="52">
        <f t="shared" si="147"/>
        <v>0</v>
      </c>
      <c r="H428" s="30">
        <f t="shared" si="150"/>
        <v>0</v>
      </c>
      <c r="I428" s="24"/>
      <c r="K428" s="30">
        <f t="shared" si="151"/>
        <v>0</v>
      </c>
      <c r="L428" s="30" t="str">
        <f t="shared" si="152"/>
        <v/>
      </c>
      <c r="M428" s="30" t="e">
        <f t="shared" si="155"/>
        <v>#VALUE!</v>
      </c>
      <c r="N428" s="30"/>
    </row>
    <row r="429" spans="1:14" x14ac:dyDescent="0.25">
      <c r="A429"/>
      <c r="B429"/>
      <c r="C429" s="2" t="str">
        <f t="shared" si="148"/>
        <v/>
      </c>
      <c r="D429" s="30" t="str">
        <f t="shared" si="149"/>
        <v/>
      </c>
      <c r="E429" s="23" t="str">
        <f t="shared" si="153"/>
        <v/>
      </c>
      <c r="F429" s="23" t="str">
        <f t="shared" si="154"/>
        <v/>
      </c>
      <c r="G429" s="52">
        <f t="shared" si="147"/>
        <v>0</v>
      </c>
      <c r="H429" s="30">
        <f t="shared" si="150"/>
        <v>0</v>
      </c>
      <c r="I429" s="24"/>
      <c r="K429" s="30">
        <f t="shared" si="151"/>
        <v>0</v>
      </c>
      <c r="L429" s="30" t="str">
        <f t="shared" si="152"/>
        <v/>
      </c>
      <c r="M429" s="30" t="e">
        <f t="shared" si="155"/>
        <v>#VALUE!</v>
      </c>
      <c r="N429" s="30"/>
    </row>
    <row r="430" spans="1:14" x14ac:dyDescent="0.25">
      <c r="A430"/>
      <c r="B430"/>
      <c r="C430" s="2" t="str">
        <f t="shared" si="148"/>
        <v/>
      </c>
      <c r="D430" s="30" t="str">
        <f t="shared" si="149"/>
        <v/>
      </c>
      <c r="E430" s="23" t="str">
        <f t="shared" si="153"/>
        <v/>
      </c>
      <c r="F430" s="23" t="str">
        <f t="shared" si="154"/>
        <v/>
      </c>
      <c r="G430" s="52">
        <f t="shared" si="147"/>
        <v>0</v>
      </c>
      <c r="H430" s="30">
        <f t="shared" si="150"/>
        <v>0</v>
      </c>
      <c r="I430" s="24"/>
      <c r="K430" s="30">
        <f t="shared" si="151"/>
        <v>0</v>
      </c>
      <c r="L430" s="30" t="str">
        <f t="shared" si="152"/>
        <v/>
      </c>
      <c r="M430" s="30" t="e">
        <f t="shared" si="155"/>
        <v>#VALUE!</v>
      </c>
      <c r="N430" s="30"/>
    </row>
    <row r="431" spans="1:14" x14ac:dyDescent="0.25">
      <c r="A431"/>
      <c r="B431"/>
      <c r="C431" s="2" t="str">
        <f t="shared" si="148"/>
        <v/>
      </c>
      <c r="D431" s="30" t="str">
        <f t="shared" si="149"/>
        <v/>
      </c>
      <c r="E431" s="23" t="str">
        <f t="shared" si="153"/>
        <v/>
      </c>
      <c r="F431" s="23" t="str">
        <f t="shared" si="154"/>
        <v/>
      </c>
      <c r="G431" s="52">
        <f t="shared" si="147"/>
        <v>0</v>
      </c>
      <c r="H431" s="30">
        <f t="shared" si="150"/>
        <v>0</v>
      </c>
      <c r="I431" s="24"/>
      <c r="K431" s="30">
        <f t="shared" si="151"/>
        <v>0</v>
      </c>
      <c r="L431" s="30" t="str">
        <f t="shared" si="152"/>
        <v/>
      </c>
      <c r="M431" s="30" t="e">
        <f t="shared" si="155"/>
        <v>#VALUE!</v>
      </c>
      <c r="N431" s="30"/>
    </row>
    <row r="432" spans="1:14" x14ac:dyDescent="0.25">
      <c r="A432"/>
      <c r="B432"/>
      <c r="C432" s="2" t="str">
        <f t="shared" si="148"/>
        <v/>
      </c>
      <c r="D432" s="30" t="str">
        <f t="shared" si="149"/>
        <v/>
      </c>
      <c r="E432" s="23" t="str">
        <f t="shared" si="153"/>
        <v/>
      </c>
      <c r="F432" s="23" t="str">
        <f t="shared" si="154"/>
        <v/>
      </c>
      <c r="G432" s="52">
        <f t="shared" si="147"/>
        <v>0</v>
      </c>
      <c r="H432" s="30">
        <f t="shared" si="150"/>
        <v>0</v>
      </c>
      <c r="I432" s="24"/>
      <c r="K432" s="30">
        <f t="shared" si="151"/>
        <v>0</v>
      </c>
      <c r="L432" s="30" t="str">
        <f t="shared" si="152"/>
        <v/>
      </c>
      <c r="M432" s="30" t="e">
        <f t="shared" si="155"/>
        <v>#VALUE!</v>
      </c>
      <c r="N432" s="30"/>
    </row>
    <row r="433" spans="1:14" x14ac:dyDescent="0.25">
      <c r="A433"/>
      <c r="B433"/>
      <c r="C433" s="2" t="str">
        <f t="shared" si="148"/>
        <v/>
      </c>
      <c r="D433" s="30" t="str">
        <f t="shared" si="149"/>
        <v/>
      </c>
      <c r="E433" s="23" t="str">
        <f t="shared" si="153"/>
        <v/>
      </c>
      <c r="F433" s="23" t="str">
        <f t="shared" si="154"/>
        <v/>
      </c>
      <c r="G433" s="52">
        <f t="shared" si="147"/>
        <v>0</v>
      </c>
      <c r="H433" s="30">
        <f t="shared" si="150"/>
        <v>0</v>
      </c>
      <c r="I433" s="24"/>
      <c r="K433" s="30">
        <f t="shared" si="151"/>
        <v>0</v>
      </c>
      <c r="L433" s="30" t="str">
        <f t="shared" si="152"/>
        <v/>
      </c>
      <c r="M433" s="30" t="e">
        <f t="shared" si="155"/>
        <v>#VALUE!</v>
      </c>
      <c r="N433" s="30"/>
    </row>
    <row r="434" spans="1:14" x14ac:dyDescent="0.25">
      <c r="A434"/>
      <c r="B434"/>
      <c r="C434" s="2" t="str">
        <f t="shared" si="148"/>
        <v/>
      </c>
      <c r="D434" s="30" t="str">
        <f t="shared" si="149"/>
        <v/>
      </c>
      <c r="E434" s="23" t="str">
        <f t="shared" si="153"/>
        <v/>
      </c>
      <c r="F434" s="23" t="str">
        <f t="shared" si="154"/>
        <v/>
      </c>
      <c r="G434" s="52">
        <f t="shared" si="147"/>
        <v>0</v>
      </c>
      <c r="H434" s="30">
        <f t="shared" si="150"/>
        <v>0</v>
      </c>
      <c r="I434" s="24"/>
      <c r="K434" s="30">
        <f t="shared" si="151"/>
        <v>0</v>
      </c>
      <c r="L434" s="30" t="str">
        <f t="shared" si="152"/>
        <v/>
      </c>
      <c r="M434" s="30" t="e">
        <f t="shared" si="155"/>
        <v>#VALUE!</v>
      </c>
      <c r="N434" s="30"/>
    </row>
    <row r="435" spans="1:14" x14ac:dyDescent="0.25">
      <c r="A435"/>
      <c r="B435"/>
      <c r="C435" s="2" t="str">
        <f t="shared" si="148"/>
        <v/>
      </c>
      <c r="D435" s="30" t="str">
        <f t="shared" si="149"/>
        <v/>
      </c>
      <c r="E435" s="23" t="str">
        <f t="shared" si="153"/>
        <v/>
      </c>
      <c r="F435" s="23" t="str">
        <f t="shared" si="154"/>
        <v/>
      </c>
      <c r="G435" s="52">
        <f t="shared" si="147"/>
        <v>0</v>
      </c>
      <c r="H435" s="30">
        <f t="shared" si="150"/>
        <v>0</v>
      </c>
      <c r="I435" s="24"/>
      <c r="K435" s="30">
        <f t="shared" si="151"/>
        <v>0</v>
      </c>
      <c r="L435" s="30" t="str">
        <f t="shared" si="152"/>
        <v/>
      </c>
      <c r="M435" s="30" t="e">
        <f t="shared" si="155"/>
        <v>#VALUE!</v>
      </c>
      <c r="N435" s="30"/>
    </row>
    <row r="436" spans="1:14" x14ac:dyDescent="0.25">
      <c r="A436"/>
      <c r="B436"/>
      <c r="C436" s="2" t="str">
        <f t="shared" si="148"/>
        <v/>
      </c>
      <c r="D436" s="30" t="str">
        <f t="shared" si="149"/>
        <v/>
      </c>
      <c r="E436" s="23" t="str">
        <f t="shared" si="153"/>
        <v/>
      </c>
      <c r="F436" s="23" t="str">
        <f t="shared" si="154"/>
        <v/>
      </c>
      <c r="G436" s="52">
        <f t="shared" si="147"/>
        <v>0</v>
      </c>
      <c r="H436" s="30">
        <f t="shared" si="150"/>
        <v>0</v>
      </c>
      <c r="I436" s="24"/>
      <c r="K436" s="30">
        <f t="shared" si="151"/>
        <v>0</v>
      </c>
      <c r="L436" s="30" t="str">
        <f t="shared" si="152"/>
        <v/>
      </c>
      <c r="M436" s="30" t="e">
        <f t="shared" si="155"/>
        <v>#VALUE!</v>
      </c>
      <c r="N436" s="30"/>
    </row>
    <row r="437" spans="1:14" x14ac:dyDescent="0.25">
      <c r="A437"/>
      <c r="B437"/>
      <c r="C437" s="2" t="str">
        <f t="shared" si="148"/>
        <v/>
      </c>
      <c r="D437" s="30" t="str">
        <f t="shared" si="149"/>
        <v/>
      </c>
      <c r="E437" s="23" t="str">
        <f t="shared" si="153"/>
        <v/>
      </c>
      <c r="F437" s="23" t="str">
        <f t="shared" si="154"/>
        <v/>
      </c>
      <c r="G437" s="52">
        <f t="shared" si="147"/>
        <v>0</v>
      </c>
      <c r="H437" s="30">
        <f t="shared" si="150"/>
        <v>0</v>
      </c>
      <c r="I437" s="24"/>
      <c r="K437" s="30">
        <f t="shared" si="151"/>
        <v>0</v>
      </c>
      <c r="L437" s="30" t="str">
        <f t="shared" si="152"/>
        <v/>
      </c>
      <c r="M437" s="30" t="e">
        <f t="shared" ref="M437:M468" si="156">+I437+H437+G437+F437+E437</f>
        <v>#VALUE!</v>
      </c>
      <c r="N437" s="30"/>
    </row>
    <row r="438" spans="1:14" x14ac:dyDescent="0.25">
      <c r="A438"/>
      <c r="B438"/>
      <c r="C438" s="2" t="str">
        <f t="shared" si="148"/>
        <v/>
      </c>
      <c r="D438" s="30" t="str">
        <f t="shared" si="149"/>
        <v/>
      </c>
      <c r="E438" s="23" t="str">
        <f t="shared" si="153"/>
        <v/>
      </c>
      <c r="F438" s="23" t="str">
        <f t="shared" si="154"/>
        <v/>
      </c>
      <c r="G438" s="52">
        <f t="shared" si="147"/>
        <v>0</v>
      </c>
      <c r="H438" s="30">
        <f t="shared" si="150"/>
        <v>0</v>
      </c>
      <c r="I438" s="24"/>
      <c r="K438" s="30">
        <f t="shared" si="151"/>
        <v>0</v>
      </c>
      <c r="L438" s="30" t="str">
        <f t="shared" si="152"/>
        <v/>
      </c>
      <c r="M438" s="30" t="e">
        <f t="shared" si="156"/>
        <v>#VALUE!</v>
      </c>
      <c r="N438" s="30"/>
    </row>
    <row r="439" spans="1:14" x14ac:dyDescent="0.25">
      <c r="A439"/>
      <c r="B439"/>
      <c r="C439" s="2" t="str">
        <f t="shared" si="148"/>
        <v/>
      </c>
      <c r="D439" s="30" t="str">
        <f t="shared" si="149"/>
        <v/>
      </c>
      <c r="E439" s="23" t="str">
        <f t="shared" si="153"/>
        <v/>
      </c>
      <c r="F439" s="23" t="str">
        <f t="shared" si="154"/>
        <v/>
      </c>
      <c r="G439" s="52">
        <f t="shared" si="147"/>
        <v>0</v>
      </c>
      <c r="H439" s="30">
        <f t="shared" si="150"/>
        <v>0</v>
      </c>
      <c r="I439" s="24"/>
      <c r="K439" s="30">
        <f t="shared" si="151"/>
        <v>0</v>
      </c>
      <c r="L439" s="30" t="str">
        <f t="shared" si="152"/>
        <v/>
      </c>
      <c r="M439" s="30" t="e">
        <f t="shared" si="156"/>
        <v>#VALUE!</v>
      </c>
      <c r="N439" s="30"/>
    </row>
    <row r="440" spans="1:14" x14ac:dyDescent="0.25">
      <c r="A440"/>
      <c r="B440"/>
      <c r="C440" s="2" t="str">
        <f t="shared" si="148"/>
        <v/>
      </c>
      <c r="D440" s="30" t="str">
        <f t="shared" si="149"/>
        <v/>
      </c>
      <c r="E440" s="23" t="str">
        <f t="shared" si="153"/>
        <v/>
      </c>
      <c r="F440" s="23" t="str">
        <f t="shared" si="154"/>
        <v/>
      </c>
      <c r="G440" s="52">
        <f t="shared" si="147"/>
        <v>0</v>
      </c>
      <c r="H440" s="30">
        <f t="shared" si="150"/>
        <v>0</v>
      </c>
      <c r="I440" s="24"/>
      <c r="K440" s="30">
        <f t="shared" si="151"/>
        <v>0</v>
      </c>
      <c r="L440" s="30" t="str">
        <f t="shared" si="152"/>
        <v/>
      </c>
      <c r="M440" s="30" t="e">
        <f t="shared" si="156"/>
        <v>#VALUE!</v>
      </c>
      <c r="N440" s="30"/>
    </row>
    <row r="441" spans="1:14" x14ac:dyDescent="0.25">
      <c r="A441"/>
      <c r="B441"/>
      <c r="C441" s="2" t="str">
        <f t="shared" si="148"/>
        <v/>
      </c>
      <c r="D441" s="30" t="str">
        <f t="shared" si="149"/>
        <v/>
      </c>
      <c r="E441" s="23" t="str">
        <f t="shared" si="153"/>
        <v/>
      </c>
      <c r="F441" s="23" t="str">
        <f t="shared" si="154"/>
        <v/>
      </c>
      <c r="G441" s="52">
        <f t="shared" si="147"/>
        <v>0</v>
      </c>
      <c r="H441" s="30">
        <f t="shared" si="150"/>
        <v>0</v>
      </c>
      <c r="I441" s="24"/>
      <c r="K441" s="30">
        <f t="shared" si="151"/>
        <v>0</v>
      </c>
      <c r="L441" s="30" t="str">
        <f t="shared" si="152"/>
        <v/>
      </c>
      <c r="M441" s="30" t="e">
        <f t="shared" si="156"/>
        <v>#VALUE!</v>
      </c>
      <c r="N441" s="30"/>
    </row>
    <row r="442" spans="1:14" x14ac:dyDescent="0.25">
      <c r="A442"/>
      <c r="B442"/>
      <c r="C442" s="2" t="str">
        <f t="shared" si="148"/>
        <v/>
      </c>
      <c r="D442" s="30" t="str">
        <f t="shared" si="149"/>
        <v/>
      </c>
      <c r="E442" s="23" t="str">
        <f t="shared" si="153"/>
        <v/>
      </c>
      <c r="F442" s="23" t="str">
        <f t="shared" si="154"/>
        <v/>
      </c>
      <c r="G442" s="52">
        <f t="shared" si="147"/>
        <v>0</v>
      </c>
      <c r="H442" s="30">
        <f t="shared" si="150"/>
        <v>0</v>
      </c>
      <c r="I442" s="24"/>
      <c r="K442" s="30">
        <f t="shared" si="151"/>
        <v>0</v>
      </c>
      <c r="L442" s="30" t="str">
        <f t="shared" si="152"/>
        <v/>
      </c>
      <c r="M442" s="30" t="e">
        <f t="shared" si="156"/>
        <v>#VALUE!</v>
      </c>
      <c r="N442" s="30"/>
    </row>
    <row r="443" spans="1:14" x14ac:dyDescent="0.25">
      <c r="A443"/>
      <c r="B443"/>
      <c r="C443" s="2" t="str">
        <f t="shared" si="148"/>
        <v/>
      </c>
      <c r="D443" s="30" t="str">
        <f t="shared" si="149"/>
        <v/>
      </c>
      <c r="E443" s="23" t="str">
        <f t="shared" si="153"/>
        <v/>
      </c>
      <c r="F443" s="23" t="str">
        <f t="shared" si="154"/>
        <v/>
      </c>
      <c r="G443" s="52">
        <f t="shared" si="147"/>
        <v>0</v>
      </c>
      <c r="H443" s="30">
        <f t="shared" si="150"/>
        <v>0</v>
      </c>
      <c r="I443" s="24"/>
      <c r="K443" s="30">
        <f t="shared" si="151"/>
        <v>0</v>
      </c>
      <c r="L443" s="30" t="str">
        <f t="shared" si="152"/>
        <v/>
      </c>
      <c r="M443" s="30" t="e">
        <f t="shared" si="156"/>
        <v>#VALUE!</v>
      </c>
      <c r="N443" s="30"/>
    </row>
    <row r="444" spans="1:14" x14ac:dyDescent="0.25">
      <c r="A444"/>
      <c r="B444"/>
      <c r="C444" s="2" t="str">
        <f t="shared" si="148"/>
        <v/>
      </c>
      <c r="D444" s="30" t="str">
        <f t="shared" si="149"/>
        <v/>
      </c>
      <c r="E444" s="23" t="str">
        <f t="shared" si="153"/>
        <v/>
      </c>
      <c r="F444" s="23" t="str">
        <f t="shared" si="154"/>
        <v/>
      </c>
      <c r="G444" s="52">
        <f t="shared" si="147"/>
        <v>0</v>
      </c>
      <c r="H444" s="30">
        <f t="shared" si="150"/>
        <v>0</v>
      </c>
      <c r="I444" s="24"/>
      <c r="K444" s="30">
        <f t="shared" si="151"/>
        <v>0</v>
      </c>
      <c r="L444" s="30" t="str">
        <f t="shared" si="152"/>
        <v/>
      </c>
      <c r="M444" s="30" t="e">
        <f t="shared" si="156"/>
        <v>#VALUE!</v>
      </c>
      <c r="N444" s="30"/>
    </row>
    <row r="445" spans="1:14" x14ac:dyDescent="0.25">
      <c r="A445"/>
      <c r="B445"/>
      <c r="C445" s="2" t="str">
        <f t="shared" si="148"/>
        <v/>
      </c>
      <c r="D445" s="30" t="str">
        <f t="shared" si="149"/>
        <v/>
      </c>
      <c r="E445" s="23" t="str">
        <f t="shared" si="153"/>
        <v/>
      </c>
      <c r="F445" s="23" t="str">
        <f t="shared" si="154"/>
        <v/>
      </c>
      <c r="G445" s="52">
        <f t="shared" si="147"/>
        <v>0</v>
      </c>
      <c r="H445" s="30">
        <f t="shared" si="150"/>
        <v>0</v>
      </c>
      <c r="I445" s="24"/>
      <c r="K445" s="30">
        <f t="shared" si="151"/>
        <v>0</v>
      </c>
      <c r="L445" s="30" t="str">
        <f t="shared" si="152"/>
        <v/>
      </c>
      <c r="M445" s="30" t="e">
        <f t="shared" si="156"/>
        <v>#VALUE!</v>
      </c>
      <c r="N445" s="30"/>
    </row>
    <row r="446" spans="1:14" x14ac:dyDescent="0.25">
      <c r="A446"/>
      <c r="B446"/>
      <c r="C446" s="2" t="str">
        <f t="shared" si="148"/>
        <v/>
      </c>
      <c r="D446" s="30" t="str">
        <f t="shared" si="149"/>
        <v/>
      </c>
      <c r="E446" s="23" t="str">
        <f t="shared" si="153"/>
        <v/>
      </c>
      <c r="F446" s="23" t="str">
        <f t="shared" si="154"/>
        <v/>
      </c>
      <c r="G446" s="52">
        <f t="shared" si="147"/>
        <v>0</v>
      </c>
      <c r="H446" s="30">
        <f t="shared" si="150"/>
        <v>0</v>
      </c>
      <c r="I446" s="24"/>
      <c r="K446" s="30">
        <f t="shared" si="151"/>
        <v>0</v>
      </c>
      <c r="L446" s="30" t="str">
        <f t="shared" si="152"/>
        <v/>
      </c>
      <c r="M446" s="30" t="e">
        <f t="shared" si="156"/>
        <v>#VALUE!</v>
      </c>
      <c r="N446" s="30"/>
    </row>
    <row r="447" spans="1:14" x14ac:dyDescent="0.25">
      <c r="A447"/>
      <c r="B447"/>
      <c r="C447" s="2" t="str">
        <f t="shared" si="148"/>
        <v/>
      </c>
      <c r="D447" s="30" t="str">
        <f t="shared" si="149"/>
        <v/>
      </c>
      <c r="E447" s="23" t="str">
        <f t="shared" si="153"/>
        <v/>
      </c>
      <c r="F447" s="23" t="str">
        <f t="shared" si="154"/>
        <v/>
      </c>
      <c r="G447" s="52">
        <f t="shared" si="147"/>
        <v>0</v>
      </c>
      <c r="H447" s="30">
        <f t="shared" si="150"/>
        <v>0</v>
      </c>
      <c r="I447" s="24"/>
      <c r="K447" s="30">
        <f t="shared" si="151"/>
        <v>0</v>
      </c>
      <c r="L447" s="30" t="str">
        <f t="shared" si="152"/>
        <v/>
      </c>
      <c r="M447" s="30" t="e">
        <f t="shared" si="156"/>
        <v>#VALUE!</v>
      </c>
      <c r="N447" s="30"/>
    </row>
    <row r="448" spans="1:14" x14ac:dyDescent="0.25">
      <c r="A448"/>
      <c r="B448"/>
      <c r="C448" s="2" t="str">
        <f t="shared" si="148"/>
        <v/>
      </c>
      <c r="D448" s="30" t="str">
        <f t="shared" si="149"/>
        <v/>
      </c>
      <c r="E448" s="23" t="str">
        <f t="shared" si="153"/>
        <v/>
      </c>
      <c r="F448" s="23" t="str">
        <f t="shared" si="154"/>
        <v/>
      </c>
      <c r="G448" s="52">
        <f t="shared" si="147"/>
        <v>0</v>
      </c>
      <c r="H448" s="30">
        <f t="shared" si="150"/>
        <v>0</v>
      </c>
      <c r="I448" s="24"/>
      <c r="K448" s="30">
        <f t="shared" si="151"/>
        <v>0</v>
      </c>
      <c r="L448" s="30" t="str">
        <f t="shared" si="152"/>
        <v/>
      </c>
      <c r="M448" s="30" t="e">
        <f t="shared" si="156"/>
        <v>#VALUE!</v>
      </c>
      <c r="N448" s="30"/>
    </row>
    <row r="449" spans="1:14" x14ac:dyDescent="0.25">
      <c r="A449"/>
      <c r="B449"/>
      <c r="C449" s="2" t="str">
        <f t="shared" si="148"/>
        <v/>
      </c>
      <c r="D449" s="30" t="str">
        <f t="shared" si="149"/>
        <v/>
      </c>
      <c r="E449" s="23" t="str">
        <f t="shared" si="153"/>
        <v/>
      </c>
      <c r="F449" s="23" t="str">
        <f t="shared" si="154"/>
        <v/>
      </c>
      <c r="G449" s="52">
        <f t="shared" si="147"/>
        <v>0</v>
      </c>
      <c r="H449" s="30">
        <f t="shared" si="150"/>
        <v>0</v>
      </c>
      <c r="I449" s="24"/>
      <c r="K449" s="30">
        <f t="shared" si="151"/>
        <v>0</v>
      </c>
      <c r="L449" s="30" t="str">
        <f t="shared" si="152"/>
        <v/>
      </c>
      <c r="M449" s="30" t="e">
        <f t="shared" si="156"/>
        <v>#VALUE!</v>
      </c>
      <c r="N449" s="30"/>
    </row>
    <row r="450" spans="1:14" x14ac:dyDescent="0.25">
      <c r="A450"/>
      <c r="B450"/>
      <c r="C450" s="2" t="str">
        <f t="shared" si="148"/>
        <v/>
      </c>
      <c r="D450" s="30" t="str">
        <f t="shared" si="149"/>
        <v/>
      </c>
      <c r="E450" s="23" t="str">
        <f t="shared" si="153"/>
        <v/>
      </c>
      <c r="F450" s="23" t="str">
        <f t="shared" si="154"/>
        <v/>
      </c>
      <c r="G450" s="52">
        <f t="shared" si="147"/>
        <v>0</v>
      </c>
      <c r="H450" s="30">
        <f t="shared" si="150"/>
        <v>0</v>
      </c>
      <c r="I450" s="24"/>
      <c r="K450" s="30">
        <f t="shared" si="151"/>
        <v>0</v>
      </c>
      <c r="L450" s="30" t="str">
        <f t="shared" si="152"/>
        <v/>
      </c>
      <c r="M450" s="30" t="e">
        <f t="shared" si="156"/>
        <v>#VALUE!</v>
      </c>
      <c r="N450" s="30"/>
    </row>
    <row r="451" spans="1:14" x14ac:dyDescent="0.25">
      <c r="A451"/>
      <c r="B451"/>
      <c r="C451" s="2" t="str">
        <f t="shared" si="148"/>
        <v/>
      </c>
      <c r="D451" s="30" t="str">
        <f t="shared" si="149"/>
        <v/>
      </c>
      <c r="E451" s="23" t="str">
        <f t="shared" si="153"/>
        <v/>
      </c>
      <c r="F451" s="23" t="str">
        <f t="shared" si="154"/>
        <v/>
      </c>
      <c r="G451" s="52">
        <f t="shared" si="147"/>
        <v>0</v>
      </c>
      <c r="H451" s="30">
        <f t="shared" si="150"/>
        <v>0</v>
      </c>
      <c r="I451" s="24"/>
      <c r="K451" s="30">
        <f t="shared" si="151"/>
        <v>0</v>
      </c>
      <c r="L451" s="30" t="str">
        <f t="shared" si="152"/>
        <v/>
      </c>
      <c r="M451" s="30" t="e">
        <f t="shared" si="156"/>
        <v>#VALUE!</v>
      </c>
      <c r="N451" s="30"/>
    </row>
    <row r="452" spans="1:14" x14ac:dyDescent="0.25">
      <c r="A452"/>
      <c r="B452"/>
      <c r="C452" s="2" t="str">
        <f t="shared" si="148"/>
        <v/>
      </c>
      <c r="D452" s="30" t="str">
        <f t="shared" si="149"/>
        <v/>
      </c>
      <c r="E452" s="23" t="str">
        <f t="shared" si="153"/>
        <v/>
      </c>
      <c r="F452" s="23" t="str">
        <f t="shared" si="154"/>
        <v/>
      </c>
      <c r="G452" s="52">
        <f t="shared" si="147"/>
        <v>0</v>
      </c>
      <c r="H452" s="30">
        <f t="shared" si="150"/>
        <v>0</v>
      </c>
      <c r="I452" s="24"/>
      <c r="K452" s="30">
        <f t="shared" si="151"/>
        <v>0</v>
      </c>
      <c r="L452" s="30" t="str">
        <f t="shared" si="152"/>
        <v/>
      </c>
      <c r="M452" s="30" t="e">
        <f t="shared" si="156"/>
        <v>#VALUE!</v>
      </c>
      <c r="N452" s="30"/>
    </row>
    <row r="453" spans="1:14" x14ac:dyDescent="0.25">
      <c r="A453"/>
      <c r="B453"/>
      <c r="C453" s="2" t="str">
        <f t="shared" si="148"/>
        <v/>
      </c>
      <c r="D453" s="30" t="str">
        <f t="shared" si="149"/>
        <v/>
      </c>
      <c r="E453" s="23" t="str">
        <f t="shared" si="153"/>
        <v/>
      </c>
      <c r="F453" s="23" t="str">
        <f t="shared" si="154"/>
        <v/>
      </c>
      <c r="G453" s="52">
        <f t="shared" si="147"/>
        <v>0</v>
      </c>
      <c r="H453" s="30">
        <f t="shared" si="150"/>
        <v>0</v>
      </c>
      <c r="I453" s="24"/>
      <c r="K453" s="30">
        <f t="shared" si="151"/>
        <v>0</v>
      </c>
      <c r="L453" s="30" t="str">
        <f t="shared" si="152"/>
        <v/>
      </c>
      <c r="M453" s="30" t="e">
        <f t="shared" si="156"/>
        <v>#VALUE!</v>
      </c>
      <c r="N453" s="30"/>
    </row>
    <row r="454" spans="1:14" x14ac:dyDescent="0.25">
      <c r="A454"/>
      <c r="B454"/>
      <c r="C454" s="2" t="str">
        <f t="shared" si="148"/>
        <v/>
      </c>
      <c r="D454" s="30" t="str">
        <f t="shared" si="149"/>
        <v/>
      </c>
      <c r="E454" s="23" t="str">
        <f t="shared" si="153"/>
        <v/>
      </c>
      <c r="F454" s="23" t="str">
        <f t="shared" si="154"/>
        <v/>
      </c>
      <c r="G454" s="52">
        <f t="shared" si="147"/>
        <v>0</v>
      </c>
      <c r="H454" s="30">
        <f t="shared" si="150"/>
        <v>0</v>
      </c>
      <c r="I454" s="24"/>
      <c r="K454" s="30">
        <f t="shared" si="151"/>
        <v>0</v>
      </c>
      <c r="L454" s="30" t="str">
        <f t="shared" si="152"/>
        <v/>
      </c>
      <c r="M454" s="30" t="e">
        <f t="shared" si="156"/>
        <v>#VALUE!</v>
      </c>
      <c r="N454" s="30"/>
    </row>
    <row r="455" spans="1:14" x14ac:dyDescent="0.25">
      <c r="A455"/>
      <c r="B455"/>
      <c r="C455" s="2" t="str">
        <f t="shared" si="148"/>
        <v/>
      </c>
      <c r="D455" s="30" t="str">
        <f t="shared" si="149"/>
        <v/>
      </c>
      <c r="E455" s="23" t="str">
        <f t="shared" si="153"/>
        <v/>
      </c>
      <c r="F455" s="23" t="str">
        <f t="shared" si="154"/>
        <v/>
      </c>
      <c r="G455" s="52">
        <f t="shared" si="147"/>
        <v>0</v>
      </c>
      <c r="H455" s="30">
        <f t="shared" si="150"/>
        <v>0</v>
      </c>
      <c r="I455" s="24"/>
      <c r="K455" s="30">
        <f t="shared" si="151"/>
        <v>0</v>
      </c>
      <c r="L455" s="30" t="str">
        <f t="shared" si="152"/>
        <v/>
      </c>
      <c r="M455" s="30" t="e">
        <f t="shared" si="156"/>
        <v>#VALUE!</v>
      </c>
      <c r="N455" s="30"/>
    </row>
    <row r="456" spans="1:14" x14ac:dyDescent="0.25">
      <c r="A456"/>
      <c r="B456"/>
      <c r="C456" s="2" t="str">
        <f t="shared" si="148"/>
        <v/>
      </c>
      <c r="D456" s="30" t="str">
        <f t="shared" si="149"/>
        <v/>
      </c>
      <c r="E456" s="23" t="str">
        <f t="shared" si="153"/>
        <v/>
      </c>
      <c r="F456" s="23" t="str">
        <f t="shared" si="154"/>
        <v/>
      </c>
      <c r="G456" s="52">
        <f t="shared" si="147"/>
        <v>0</v>
      </c>
      <c r="H456" s="30">
        <f t="shared" si="150"/>
        <v>0</v>
      </c>
      <c r="I456" s="24"/>
      <c r="K456" s="30">
        <f t="shared" si="151"/>
        <v>0</v>
      </c>
      <c r="L456" s="30" t="str">
        <f t="shared" si="152"/>
        <v/>
      </c>
      <c r="M456" s="30" t="e">
        <f t="shared" si="156"/>
        <v>#VALUE!</v>
      </c>
      <c r="N456" s="30"/>
    </row>
    <row r="457" spans="1:14" x14ac:dyDescent="0.25">
      <c r="A457"/>
      <c r="B457"/>
      <c r="C457" s="2" t="str">
        <f t="shared" si="148"/>
        <v/>
      </c>
      <c r="D457" s="30" t="str">
        <f t="shared" si="149"/>
        <v/>
      </c>
      <c r="E457" s="23" t="str">
        <f t="shared" si="153"/>
        <v/>
      </c>
      <c r="F457" s="23" t="str">
        <f t="shared" si="154"/>
        <v/>
      </c>
      <c r="G457" s="52">
        <f t="shared" si="147"/>
        <v>0</v>
      </c>
      <c r="H457" s="30">
        <f t="shared" si="150"/>
        <v>0</v>
      </c>
      <c r="I457" s="24"/>
      <c r="K457" s="30">
        <f t="shared" si="151"/>
        <v>0</v>
      </c>
      <c r="L457" s="30" t="str">
        <f t="shared" si="152"/>
        <v/>
      </c>
      <c r="M457" s="30" t="e">
        <f t="shared" si="156"/>
        <v>#VALUE!</v>
      </c>
      <c r="N457" s="30"/>
    </row>
    <row r="458" spans="1:14" x14ac:dyDescent="0.25">
      <c r="A458"/>
      <c r="B458"/>
      <c r="C458" s="2" t="str">
        <f t="shared" si="148"/>
        <v/>
      </c>
      <c r="D458" s="30" t="str">
        <f t="shared" si="149"/>
        <v/>
      </c>
      <c r="E458" s="23" t="str">
        <f t="shared" si="153"/>
        <v/>
      </c>
      <c r="F458" s="23" t="str">
        <f t="shared" si="154"/>
        <v/>
      </c>
      <c r="G458" s="52">
        <f t="shared" si="147"/>
        <v>0</v>
      </c>
      <c r="H458" s="30">
        <f t="shared" si="150"/>
        <v>0</v>
      </c>
      <c r="I458" s="24"/>
      <c r="K458" s="30">
        <f t="shared" si="151"/>
        <v>0</v>
      </c>
      <c r="L458" s="30" t="str">
        <f t="shared" si="152"/>
        <v/>
      </c>
      <c r="M458" s="30" t="e">
        <f t="shared" si="156"/>
        <v>#VALUE!</v>
      </c>
      <c r="N458" s="30"/>
    </row>
    <row r="459" spans="1:14" x14ac:dyDescent="0.25">
      <c r="A459"/>
      <c r="B459"/>
      <c r="C459" s="2" t="str">
        <f t="shared" si="148"/>
        <v/>
      </c>
      <c r="D459" s="30" t="str">
        <f t="shared" si="149"/>
        <v/>
      </c>
      <c r="E459" s="23" t="str">
        <f t="shared" si="153"/>
        <v/>
      </c>
      <c r="F459" s="23" t="str">
        <f t="shared" si="154"/>
        <v/>
      </c>
      <c r="G459" s="52">
        <f t="shared" si="147"/>
        <v>0</v>
      </c>
      <c r="H459" s="30">
        <f t="shared" si="150"/>
        <v>0</v>
      </c>
      <c r="I459" s="24"/>
      <c r="K459" s="30">
        <f t="shared" si="151"/>
        <v>0</v>
      </c>
      <c r="L459" s="30" t="str">
        <f t="shared" si="152"/>
        <v/>
      </c>
      <c r="M459" s="30" t="e">
        <f t="shared" si="156"/>
        <v>#VALUE!</v>
      </c>
      <c r="N459" s="30"/>
    </row>
    <row r="460" spans="1:14" x14ac:dyDescent="0.25">
      <c r="A460"/>
      <c r="B460"/>
      <c r="C460" s="2" t="str">
        <f t="shared" si="148"/>
        <v/>
      </c>
      <c r="D460" s="30" t="str">
        <f t="shared" si="149"/>
        <v/>
      </c>
      <c r="E460" s="23" t="str">
        <f t="shared" si="153"/>
        <v/>
      </c>
      <c r="F460" s="23" t="str">
        <f t="shared" si="154"/>
        <v/>
      </c>
      <c r="G460" s="52">
        <f t="shared" si="147"/>
        <v>0</v>
      </c>
      <c r="H460" s="30">
        <f t="shared" si="150"/>
        <v>0</v>
      </c>
      <c r="I460" s="24"/>
      <c r="K460" s="30">
        <f t="shared" si="151"/>
        <v>0</v>
      </c>
      <c r="L460" s="30" t="str">
        <f t="shared" si="152"/>
        <v/>
      </c>
      <c r="M460" s="30" t="e">
        <f t="shared" si="156"/>
        <v>#VALUE!</v>
      </c>
      <c r="N460" s="30"/>
    </row>
    <row r="461" spans="1:14" x14ac:dyDescent="0.25">
      <c r="A461"/>
      <c r="B461"/>
      <c r="C461" s="2" t="str">
        <f t="shared" si="148"/>
        <v/>
      </c>
      <c r="D461" s="30" t="str">
        <f t="shared" si="149"/>
        <v/>
      </c>
      <c r="E461" s="23" t="str">
        <f t="shared" si="153"/>
        <v/>
      </c>
      <c r="F461" s="23" t="str">
        <f t="shared" si="154"/>
        <v/>
      </c>
      <c r="G461" s="52">
        <f t="shared" ref="G461:G502" si="157">+IF(C461="",0,$H$4)</f>
        <v>0</v>
      </c>
      <c r="H461" s="30">
        <f t="shared" si="150"/>
        <v>0</v>
      </c>
      <c r="I461" s="24"/>
      <c r="K461" s="30">
        <f t="shared" si="151"/>
        <v>0</v>
      </c>
      <c r="L461" s="30" t="str">
        <f t="shared" si="152"/>
        <v/>
      </c>
      <c r="M461" s="30" t="e">
        <f t="shared" si="156"/>
        <v>#VALUE!</v>
      </c>
      <c r="N461" s="30"/>
    </row>
    <row r="462" spans="1:14" x14ac:dyDescent="0.25">
      <c r="A462"/>
      <c r="B462"/>
      <c r="C462" s="2" t="str">
        <f t="shared" ref="C462:C503" si="158">+IF(L461&gt;1,IF(C461="","",C461+1),"")</f>
        <v/>
      </c>
      <c r="D462" s="30" t="str">
        <f t="shared" ref="D462:D503" si="159">+IF(C462="","",L461)</f>
        <v/>
      </c>
      <c r="E462" s="23" t="str">
        <f t="shared" si="153"/>
        <v/>
      </c>
      <c r="F462" s="23" t="str">
        <f t="shared" si="154"/>
        <v/>
      </c>
      <c r="G462" s="52">
        <f t="shared" si="157"/>
        <v>0</v>
      </c>
      <c r="H462" s="30">
        <f t="shared" ref="H462:H502" si="160">+IF(C462="",0,IF(D462&lt;$D$4*0.8,0,$H$5))</f>
        <v>0</v>
      </c>
      <c r="I462" s="24"/>
      <c r="K462" s="30">
        <f t="shared" ref="K462:K502" si="161">+IF(C462="",0,F462+I462)</f>
        <v>0</v>
      </c>
      <c r="L462" s="30" t="str">
        <f t="shared" ref="L462:L502" si="162">+IF(C462="","",D462-K462)</f>
        <v/>
      </c>
      <c r="M462" s="30" t="e">
        <f t="shared" si="156"/>
        <v>#VALUE!</v>
      </c>
      <c r="N462" s="30"/>
    </row>
    <row r="463" spans="1:14" x14ac:dyDescent="0.25">
      <c r="A463"/>
      <c r="B463"/>
      <c r="C463" s="2" t="str">
        <f t="shared" si="158"/>
        <v/>
      </c>
      <c r="D463" s="30" t="str">
        <f t="shared" si="159"/>
        <v/>
      </c>
      <c r="E463" s="23" t="str">
        <f t="shared" si="153"/>
        <v/>
      </c>
      <c r="F463" s="23" t="str">
        <f t="shared" si="154"/>
        <v/>
      </c>
      <c r="G463" s="52">
        <f t="shared" si="157"/>
        <v>0</v>
      </c>
      <c r="H463" s="30">
        <f t="shared" si="160"/>
        <v>0</v>
      </c>
      <c r="I463" s="24"/>
      <c r="K463" s="30">
        <f t="shared" si="161"/>
        <v>0</v>
      </c>
      <c r="L463" s="30" t="str">
        <f t="shared" si="162"/>
        <v/>
      </c>
      <c r="M463" s="30" t="e">
        <f t="shared" si="156"/>
        <v>#VALUE!</v>
      </c>
      <c r="N463" s="30"/>
    </row>
    <row r="464" spans="1:14" x14ac:dyDescent="0.25">
      <c r="A464"/>
      <c r="B464"/>
      <c r="C464" s="2" t="str">
        <f t="shared" si="158"/>
        <v/>
      </c>
      <c r="D464" s="30" t="str">
        <f t="shared" si="159"/>
        <v/>
      </c>
      <c r="E464" s="23" t="str">
        <f t="shared" si="153"/>
        <v/>
      </c>
      <c r="F464" s="23" t="str">
        <f t="shared" si="154"/>
        <v/>
      </c>
      <c r="G464" s="52">
        <f t="shared" si="157"/>
        <v>0</v>
      </c>
      <c r="H464" s="30">
        <f t="shared" si="160"/>
        <v>0</v>
      </c>
      <c r="I464" s="24"/>
      <c r="K464" s="30">
        <f t="shared" si="161"/>
        <v>0</v>
      </c>
      <c r="L464" s="30" t="str">
        <f t="shared" si="162"/>
        <v/>
      </c>
      <c r="M464" s="30" t="e">
        <f t="shared" si="156"/>
        <v>#VALUE!</v>
      </c>
      <c r="N464" s="30"/>
    </row>
    <row r="465" spans="1:14" x14ac:dyDescent="0.25">
      <c r="A465"/>
      <c r="B465"/>
      <c r="C465" s="2" t="str">
        <f t="shared" si="158"/>
        <v/>
      </c>
      <c r="D465" s="30" t="str">
        <f t="shared" si="159"/>
        <v/>
      </c>
      <c r="E465" s="23" t="str">
        <f t="shared" ref="E465:E503" si="163">IF(C465="","",($D$5/12)*D465)</f>
        <v/>
      </c>
      <c r="F465" s="23" t="str">
        <f t="shared" si="154"/>
        <v/>
      </c>
      <c r="G465" s="52">
        <f t="shared" si="157"/>
        <v>0</v>
      </c>
      <c r="H465" s="30">
        <f t="shared" si="160"/>
        <v>0</v>
      </c>
      <c r="I465" s="24"/>
      <c r="K465" s="30">
        <f t="shared" si="161"/>
        <v>0</v>
      </c>
      <c r="L465" s="30" t="str">
        <f t="shared" si="162"/>
        <v/>
      </c>
      <c r="M465" s="30" t="e">
        <f t="shared" si="156"/>
        <v>#VALUE!</v>
      </c>
      <c r="N465" s="30"/>
    </row>
    <row r="466" spans="1:14" x14ac:dyDescent="0.25">
      <c r="A466"/>
      <c r="B466"/>
      <c r="C466" s="2" t="str">
        <f t="shared" si="158"/>
        <v/>
      </c>
      <c r="D466" s="30" t="str">
        <f t="shared" si="159"/>
        <v/>
      </c>
      <c r="E466" s="23" t="str">
        <f t="shared" si="163"/>
        <v/>
      </c>
      <c r="F466" s="23" t="str">
        <f t="shared" si="154"/>
        <v/>
      </c>
      <c r="G466" s="52">
        <f t="shared" si="157"/>
        <v>0</v>
      </c>
      <c r="H466" s="30">
        <f t="shared" si="160"/>
        <v>0</v>
      </c>
      <c r="I466" s="24"/>
      <c r="K466" s="30">
        <f t="shared" si="161"/>
        <v>0</v>
      </c>
      <c r="L466" s="30" t="str">
        <f t="shared" si="162"/>
        <v/>
      </c>
      <c r="M466" s="30" t="e">
        <f t="shared" si="156"/>
        <v>#VALUE!</v>
      </c>
      <c r="N466" s="30"/>
    </row>
    <row r="467" spans="1:14" x14ac:dyDescent="0.25">
      <c r="A467"/>
      <c r="B467"/>
      <c r="C467" s="2" t="str">
        <f t="shared" si="158"/>
        <v/>
      </c>
      <c r="D467" s="30" t="str">
        <f t="shared" si="159"/>
        <v/>
      </c>
      <c r="E467" s="23" t="str">
        <f t="shared" si="163"/>
        <v/>
      </c>
      <c r="F467" s="23" t="str">
        <f t="shared" ref="F467:F503" si="164">IF(C467="","",$D$8-E467)</f>
        <v/>
      </c>
      <c r="G467" s="52">
        <f t="shared" si="157"/>
        <v>0</v>
      </c>
      <c r="H467" s="30">
        <f t="shared" si="160"/>
        <v>0</v>
      </c>
      <c r="I467" s="24"/>
      <c r="K467" s="30">
        <f t="shared" si="161"/>
        <v>0</v>
      </c>
      <c r="L467" s="30" t="str">
        <f t="shared" si="162"/>
        <v/>
      </c>
      <c r="M467" s="30" t="e">
        <f t="shared" si="156"/>
        <v>#VALUE!</v>
      </c>
      <c r="N467" s="30"/>
    </row>
    <row r="468" spans="1:14" x14ac:dyDescent="0.25">
      <c r="A468"/>
      <c r="B468"/>
      <c r="C468" s="2" t="str">
        <f t="shared" si="158"/>
        <v/>
      </c>
      <c r="D468" s="30" t="str">
        <f t="shared" si="159"/>
        <v/>
      </c>
      <c r="E468" s="23" t="str">
        <f t="shared" si="163"/>
        <v/>
      </c>
      <c r="F468" s="23" t="str">
        <f t="shared" si="164"/>
        <v/>
      </c>
      <c r="G468" s="52">
        <f t="shared" si="157"/>
        <v>0</v>
      </c>
      <c r="H468" s="30">
        <f t="shared" si="160"/>
        <v>0</v>
      </c>
      <c r="I468" s="24"/>
      <c r="K468" s="30">
        <f t="shared" si="161"/>
        <v>0</v>
      </c>
      <c r="L468" s="30" t="str">
        <f t="shared" si="162"/>
        <v/>
      </c>
      <c r="M468" s="30" t="e">
        <f t="shared" si="156"/>
        <v>#VALUE!</v>
      </c>
      <c r="N468" s="30"/>
    </row>
    <row r="469" spans="1:14" x14ac:dyDescent="0.25">
      <c r="A469"/>
      <c r="B469"/>
      <c r="C469" s="2" t="str">
        <f t="shared" si="158"/>
        <v/>
      </c>
      <c r="D469" s="30" t="str">
        <f t="shared" si="159"/>
        <v/>
      </c>
      <c r="E469" s="23" t="str">
        <f t="shared" si="163"/>
        <v/>
      </c>
      <c r="F469" s="23" t="str">
        <f t="shared" si="164"/>
        <v/>
      </c>
      <c r="G469" s="52">
        <f t="shared" si="157"/>
        <v>0</v>
      </c>
      <c r="H469" s="30">
        <f t="shared" si="160"/>
        <v>0</v>
      </c>
      <c r="I469" s="24"/>
      <c r="K469" s="30">
        <f t="shared" si="161"/>
        <v>0</v>
      </c>
      <c r="L469" s="30" t="str">
        <f t="shared" si="162"/>
        <v/>
      </c>
      <c r="M469" s="30" t="e">
        <f t="shared" ref="M469:M502" si="165">+I469+H469+G469+F469+E469</f>
        <v>#VALUE!</v>
      </c>
      <c r="N469" s="30"/>
    </row>
    <row r="470" spans="1:14" x14ac:dyDescent="0.25">
      <c r="A470"/>
      <c r="B470"/>
      <c r="C470" s="2" t="str">
        <f t="shared" si="158"/>
        <v/>
      </c>
      <c r="D470" s="30" t="str">
        <f t="shared" si="159"/>
        <v/>
      </c>
      <c r="E470" s="23" t="str">
        <f t="shared" si="163"/>
        <v/>
      </c>
      <c r="F470" s="23" t="str">
        <f t="shared" si="164"/>
        <v/>
      </c>
      <c r="G470" s="52">
        <f t="shared" si="157"/>
        <v>0</v>
      </c>
      <c r="H470" s="30">
        <f t="shared" si="160"/>
        <v>0</v>
      </c>
      <c r="I470" s="24"/>
      <c r="K470" s="30">
        <f t="shared" si="161"/>
        <v>0</v>
      </c>
      <c r="L470" s="30" t="str">
        <f t="shared" si="162"/>
        <v/>
      </c>
      <c r="M470" s="30" t="e">
        <f t="shared" si="165"/>
        <v>#VALUE!</v>
      </c>
      <c r="N470" s="30"/>
    </row>
    <row r="471" spans="1:14" x14ac:dyDescent="0.25">
      <c r="A471"/>
      <c r="B471"/>
      <c r="C471" s="2" t="str">
        <f t="shared" si="158"/>
        <v/>
      </c>
      <c r="D471" s="30" t="str">
        <f t="shared" si="159"/>
        <v/>
      </c>
      <c r="E471" s="23" t="str">
        <f t="shared" si="163"/>
        <v/>
      </c>
      <c r="F471" s="23" t="str">
        <f t="shared" si="164"/>
        <v/>
      </c>
      <c r="G471" s="52">
        <f t="shared" si="157"/>
        <v>0</v>
      </c>
      <c r="H471" s="30">
        <f t="shared" si="160"/>
        <v>0</v>
      </c>
      <c r="I471" s="24"/>
      <c r="K471" s="30">
        <f t="shared" si="161"/>
        <v>0</v>
      </c>
      <c r="L471" s="30" t="str">
        <f t="shared" si="162"/>
        <v/>
      </c>
      <c r="M471" s="30" t="e">
        <f t="shared" si="165"/>
        <v>#VALUE!</v>
      </c>
      <c r="N471" s="30"/>
    </row>
    <row r="472" spans="1:14" x14ac:dyDescent="0.25">
      <c r="A472"/>
      <c r="B472"/>
      <c r="C472" s="2" t="str">
        <f t="shared" si="158"/>
        <v/>
      </c>
      <c r="D472" s="30" t="str">
        <f t="shared" si="159"/>
        <v/>
      </c>
      <c r="E472" s="23" t="str">
        <f t="shared" si="163"/>
        <v/>
      </c>
      <c r="F472" s="23" t="str">
        <f t="shared" si="164"/>
        <v/>
      </c>
      <c r="G472" s="52">
        <f t="shared" si="157"/>
        <v>0</v>
      </c>
      <c r="H472" s="30">
        <f t="shared" si="160"/>
        <v>0</v>
      </c>
      <c r="I472" s="24"/>
      <c r="K472" s="30">
        <f t="shared" si="161"/>
        <v>0</v>
      </c>
      <c r="L472" s="30" t="str">
        <f t="shared" si="162"/>
        <v/>
      </c>
      <c r="M472" s="30" t="e">
        <f t="shared" si="165"/>
        <v>#VALUE!</v>
      </c>
      <c r="N472" s="30"/>
    </row>
    <row r="473" spans="1:14" x14ac:dyDescent="0.25">
      <c r="A473"/>
      <c r="B473"/>
      <c r="C473" s="2" t="str">
        <f t="shared" si="158"/>
        <v/>
      </c>
      <c r="D473" s="30" t="str">
        <f t="shared" si="159"/>
        <v/>
      </c>
      <c r="E473" s="23" t="str">
        <f t="shared" si="163"/>
        <v/>
      </c>
      <c r="F473" s="23" t="str">
        <f t="shared" si="164"/>
        <v/>
      </c>
      <c r="G473" s="52">
        <f t="shared" si="157"/>
        <v>0</v>
      </c>
      <c r="H473" s="30">
        <f t="shared" si="160"/>
        <v>0</v>
      </c>
      <c r="I473" s="24"/>
      <c r="K473" s="30">
        <f t="shared" si="161"/>
        <v>0</v>
      </c>
      <c r="L473" s="30" t="str">
        <f t="shared" si="162"/>
        <v/>
      </c>
      <c r="M473" s="30" t="e">
        <f t="shared" si="165"/>
        <v>#VALUE!</v>
      </c>
      <c r="N473" s="30"/>
    </row>
    <row r="474" spans="1:14" x14ac:dyDescent="0.25">
      <c r="A474"/>
      <c r="B474"/>
      <c r="C474" s="2" t="str">
        <f t="shared" si="158"/>
        <v/>
      </c>
      <c r="D474" s="30" t="str">
        <f t="shared" si="159"/>
        <v/>
      </c>
      <c r="E474" s="23" t="str">
        <f t="shared" si="163"/>
        <v/>
      </c>
      <c r="F474" s="23" t="str">
        <f t="shared" si="164"/>
        <v/>
      </c>
      <c r="G474" s="52">
        <f t="shared" si="157"/>
        <v>0</v>
      </c>
      <c r="H474" s="30">
        <f t="shared" si="160"/>
        <v>0</v>
      </c>
      <c r="I474" s="24"/>
      <c r="K474" s="30">
        <f t="shared" si="161"/>
        <v>0</v>
      </c>
      <c r="L474" s="30" t="str">
        <f t="shared" si="162"/>
        <v/>
      </c>
      <c r="M474" s="30" t="e">
        <f t="shared" si="165"/>
        <v>#VALUE!</v>
      </c>
      <c r="N474" s="30"/>
    </row>
    <row r="475" spans="1:14" x14ac:dyDescent="0.25">
      <c r="A475"/>
      <c r="B475"/>
      <c r="C475" s="2" t="str">
        <f t="shared" si="158"/>
        <v/>
      </c>
      <c r="D475" s="30" t="str">
        <f t="shared" si="159"/>
        <v/>
      </c>
      <c r="E475" s="23" t="str">
        <f t="shared" si="163"/>
        <v/>
      </c>
      <c r="F475" s="23" t="str">
        <f t="shared" si="164"/>
        <v/>
      </c>
      <c r="G475" s="52">
        <f t="shared" si="157"/>
        <v>0</v>
      </c>
      <c r="H475" s="30">
        <f t="shared" si="160"/>
        <v>0</v>
      </c>
      <c r="I475" s="24"/>
      <c r="K475" s="30">
        <f t="shared" si="161"/>
        <v>0</v>
      </c>
      <c r="L475" s="30" t="str">
        <f t="shared" si="162"/>
        <v/>
      </c>
      <c r="M475" s="30" t="e">
        <f t="shared" si="165"/>
        <v>#VALUE!</v>
      </c>
      <c r="N475" s="30"/>
    </row>
    <row r="476" spans="1:14" x14ac:dyDescent="0.25">
      <c r="A476"/>
      <c r="B476"/>
      <c r="C476" s="2" t="str">
        <f t="shared" si="158"/>
        <v/>
      </c>
      <c r="D476" s="30" t="str">
        <f t="shared" si="159"/>
        <v/>
      </c>
      <c r="E476" s="23" t="str">
        <f t="shared" si="163"/>
        <v/>
      </c>
      <c r="F476" s="23" t="str">
        <f t="shared" si="164"/>
        <v/>
      </c>
      <c r="G476" s="52">
        <f t="shared" si="157"/>
        <v>0</v>
      </c>
      <c r="H476" s="30">
        <f t="shared" si="160"/>
        <v>0</v>
      </c>
      <c r="I476" s="24"/>
      <c r="K476" s="30">
        <f t="shared" si="161"/>
        <v>0</v>
      </c>
      <c r="L476" s="30" t="str">
        <f t="shared" si="162"/>
        <v/>
      </c>
      <c r="M476" s="30" t="e">
        <f t="shared" si="165"/>
        <v>#VALUE!</v>
      </c>
      <c r="N476" s="30"/>
    </row>
    <row r="477" spans="1:14" x14ac:dyDescent="0.25">
      <c r="A477"/>
      <c r="B477"/>
      <c r="C477" s="2" t="str">
        <f t="shared" si="158"/>
        <v/>
      </c>
      <c r="D477" s="30" t="str">
        <f t="shared" si="159"/>
        <v/>
      </c>
      <c r="E477" s="23" t="str">
        <f t="shared" si="163"/>
        <v/>
      </c>
      <c r="F477" s="23" t="str">
        <f t="shared" si="164"/>
        <v/>
      </c>
      <c r="G477" s="52">
        <f t="shared" si="157"/>
        <v>0</v>
      </c>
      <c r="H477" s="30">
        <f t="shared" si="160"/>
        <v>0</v>
      </c>
      <c r="I477" s="24"/>
      <c r="K477" s="30">
        <f t="shared" si="161"/>
        <v>0</v>
      </c>
      <c r="L477" s="30" t="str">
        <f t="shared" si="162"/>
        <v/>
      </c>
      <c r="M477" s="30" t="e">
        <f t="shared" si="165"/>
        <v>#VALUE!</v>
      </c>
      <c r="N477" s="30"/>
    </row>
    <row r="478" spans="1:14" x14ac:dyDescent="0.25">
      <c r="A478"/>
      <c r="B478"/>
      <c r="C478" s="2" t="str">
        <f t="shared" si="158"/>
        <v/>
      </c>
      <c r="D478" s="30" t="str">
        <f t="shared" si="159"/>
        <v/>
      </c>
      <c r="E478" s="23" t="str">
        <f t="shared" si="163"/>
        <v/>
      </c>
      <c r="F478" s="23" t="str">
        <f t="shared" si="164"/>
        <v/>
      </c>
      <c r="G478" s="52">
        <f t="shared" si="157"/>
        <v>0</v>
      </c>
      <c r="H478" s="30">
        <f t="shared" si="160"/>
        <v>0</v>
      </c>
      <c r="I478" s="24"/>
      <c r="K478" s="30">
        <f t="shared" si="161"/>
        <v>0</v>
      </c>
      <c r="L478" s="30" t="str">
        <f t="shared" si="162"/>
        <v/>
      </c>
      <c r="M478" s="30" t="e">
        <f t="shared" si="165"/>
        <v>#VALUE!</v>
      </c>
      <c r="N478" s="30"/>
    </row>
    <row r="479" spans="1:14" x14ac:dyDescent="0.25">
      <c r="A479"/>
      <c r="B479"/>
      <c r="C479" s="2" t="str">
        <f t="shared" si="158"/>
        <v/>
      </c>
      <c r="D479" s="30" t="str">
        <f t="shared" si="159"/>
        <v/>
      </c>
      <c r="E479" s="23" t="str">
        <f t="shared" si="163"/>
        <v/>
      </c>
      <c r="F479" s="23" t="str">
        <f t="shared" si="164"/>
        <v/>
      </c>
      <c r="G479" s="52">
        <f t="shared" si="157"/>
        <v>0</v>
      </c>
      <c r="H479" s="30">
        <f t="shared" si="160"/>
        <v>0</v>
      </c>
      <c r="I479" s="24"/>
      <c r="K479" s="30">
        <f t="shared" si="161"/>
        <v>0</v>
      </c>
      <c r="L479" s="30" t="str">
        <f t="shared" si="162"/>
        <v/>
      </c>
      <c r="M479" s="30" t="e">
        <f t="shared" si="165"/>
        <v>#VALUE!</v>
      </c>
      <c r="N479" s="30"/>
    </row>
    <row r="480" spans="1:14" x14ac:dyDescent="0.25">
      <c r="A480"/>
      <c r="B480"/>
      <c r="C480" s="2" t="str">
        <f t="shared" si="158"/>
        <v/>
      </c>
      <c r="D480" s="30" t="str">
        <f t="shared" si="159"/>
        <v/>
      </c>
      <c r="E480" s="23" t="str">
        <f t="shared" si="163"/>
        <v/>
      </c>
      <c r="F480" s="23" t="str">
        <f t="shared" si="164"/>
        <v/>
      </c>
      <c r="G480" s="52">
        <f t="shared" si="157"/>
        <v>0</v>
      </c>
      <c r="H480" s="30">
        <f t="shared" si="160"/>
        <v>0</v>
      </c>
      <c r="I480" s="24"/>
      <c r="K480" s="30">
        <f t="shared" si="161"/>
        <v>0</v>
      </c>
      <c r="L480" s="30" t="str">
        <f t="shared" si="162"/>
        <v/>
      </c>
      <c r="M480" s="30" t="e">
        <f t="shared" si="165"/>
        <v>#VALUE!</v>
      </c>
      <c r="N480" s="30"/>
    </row>
    <row r="481" spans="1:14" x14ac:dyDescent="0.25">
      <c r="A481"/>
      <c r="B481"/>
      <c r="C481" s="2" t="str">
        <f t="shared" si="158"/>
        <v/>
      </c>
      <c r="D481" s="30" t="str">
        <f t="shared" si="159"/>
        <v/>
      </c>
      <c r="E481" s="23" t="str">
        <f t="shared" si="163"/>
        <v/>
      </c>
      <c r="F481" s="23" t="str">
        <f t="shared" si="164"/>
        <v/>
      </c>
      <c r="G481" s="52">
        <f t="shared" si="157"/>
        <v>0</v>
      </c>
      <c r="H481" s="30">
        <f t="shared" si="160"/>
        <v>0</v>
      </c>
      <c r="I481" s="24"/>
      <c r="K481" s="30">
        <f t="shared" si="161"/>
        <v>0</v>
      </c>
      <c r="L481" s="30" t="str">
        <f t="shared" si="162"/>
        <v/>
      </c>
      <c r="M481" s="30" t="e">
        <f t="shared" si="165"/>
        <v>#VALUE!</v>
      </c>
      <c r="N481" s="30"/>
    </row>
    <row r="482" spans="1:14" x14ac:dyDescent="0.25">
      <c r="A482"/>
      <c r="B482"/>
      <c r="C482" s="2" t="str">
        <f t="shared" si="158"/>
        <v/>
      </c>
      <c r="D482" s="30" t="str">
        <f t="shared" si="159"/>
        <v/>
      </c>
      <c r="E482" s="23" t="str">
        <f t="shared" si="163"/>
        <v/>
      </c>
      <c r="F482" s="23" t="str">
        <f t="shared" si="164"/>
        <v/>
      </c>
      <c r="G482" s="52">
        <f t="shared" si="157"/>
        <v>0</v>
      </c>
      <c r="H482" s="30">
        <f t="shared" si="160"/>
        <v>0</v>
      </c>
      <c r="I482" s="24"/>
      <c r="K482" s="30">
        <f t="shared" si="161"/>
        <v>0</v>
      </c>
      <c r="L482" s="30" t="str">
        <f t="shared" si="162"/>
        <v/>
      </c>
      <c r="M482" s="30" t="e">
        <f t="shared" si="165"/>
        <v>#VALUE!</v>
      </c>
      <c r="N482" s="30"/>
    </row>
    <row r="483" spans="1:14" x14ac:dyDescent="0.25">
      <c r="A483"/>
      <c r="B483"/>
      <c r="C483" s="2" t="str">
        <f t="shared" si="158"/>
        <v/>
      </c>
      <c r="D483" s="30" t="str">
        <f t="shared" si="159"/>
        <v/>
      </c>
      <c r="E483" s="23" t="str">
        <f t="shared" si="163"/>
        <v/>
      </c>
      <c r="F483" s="23" t="str">
        <f t="shared" si="164"/>
        <v/>
      </c>
      <c r="G483" s="52">
        <f t="shared" si="157"/>
        <v>0</v>
      </c>
      <c r="H483" s="30">
        <f t="shared" si="160"/>
        <v>0</v>
      </c>
      <c r="I483" s="24"/>
      <c r="K483" s="30">
        <f t="shared" si="161"/>
        <v>0</v>
      </c>
      <c r="L483" s="30" t="str">
        <f t="shared" si="162"/>
        <v/>
      </c>
      <c r="M483" s="30" t="e">
        <f t="shared" si="165"/>
        <v>#VALUE!</v>
      </c>
      <c r="N483" s="30"/>
    </row>
    <row r="484" spans="1:14" x14ac:dyDescent="0.25">
      <c r="A484"/>
      <c r="B484"/>
      <c r="C484" s="2" t="str">
        <f t="shared" si="158"/>
        <v/>
      </c>
      <c r="D484" s="30" t="str">
        <f t="shared" si="159"/>
        <v/>
      </c>
      <c r="E484" s="23" t="str">
        <f t="shared" si="163"/>
        <v/>
      </c>
      <c r="F484" s="23" t="str">
        <f t="shared" si="164"/>
        <v/>
      </c>
      <c r="G484" s="52">
        <f t="shared" si="157"/>
        <v>0</v>
      </c>
      <c r="H484" s="30">
        <f t="shared" si="160"/>
        <v>0</v>
      </c>
      <c r="I484" s="24"/>
      <c r="K484" s="30">
        <f t="shared" si="161"/>
        <v>0</v>
      </c>
      <c r="L484" s="30" t="str">
        <f t="shared" si="162"/>
        <v/>
      </c>
      <c r="M484" s="30" t="e">
        <f t="shared" si="165"/>
        <v>#VALUE!</v>
      </c>
      <c r="N484" s="30"/>
    </row>
    <row r="485" spans="1:14" x14ac:dyDescent="0.25">
      <c r="A485"/>
      <c r="B485"/>
      <c r="C485" s="2" t="str">
        <f t="shared" si="158"/>
        <v/>
      </c>
      <c r="D485" s="30" t="str">
        <f t="shared" si="159"/>
        <v/>
      </c>
      <c r="E485" s="23" t="str">
        <f t="shared" si="163"/>
        <v/>
      </c>
      <c r="F485" s="23" t="str">
        <f t="shared" si="164"/>
        <v/>
      </c>
      <c r="G485" s="52">
        <f t="shared" si="157"/>
        <v>0</v>
      </c>
      <c r="H485" s="30">
        <f t="shared" si="160"/>
        <v>0</v>
      </c>
      <c r="I485" s="24"/>
      <c r="K485" s="30">
        <f t="shared" si="161"/>
        <v>0</v>
      </c>
      <c r="L485" s="30" t="str">
        <f t="shared" si="162"/>
        <v/>
      </c>
      <c r="M485" s="30" t="e">
        <f t="shared" si="165"/>
        <v>#VALUE!</v>
      </c>
      <c r="N485" s="30"/>
    </row>
    <row r="486" spans="1:14" x14ac:dyDescent="0.25">
      <c r="A486"/>
      <c r="B486"/>
      <c r="C486" s="2" t="str">
        <f t="shared" si="158"/>
        <v/>
      </c>
      <c r="D486" s="30" t="str">
        <f t="shared" si="159"/>
        <v/>
      </c>
      <c r="E486" s="23" t="str">
        <f t="shared" si="163"/>
        <v/>
      </c>
      <c r="F486" s="23" t="str">
        <f t="shared" si="164"/>
        <v/>
      </c>
      <c r="G486" s="52">
        <f t="shared" si="157"/>
        <v>0</v>
      </c>
      <c r="H486" s="30">
        <f t="shared" si="160"/>
        <v>0</v>
      </c>
      <c r="I486" s="24"/>
      <c r="K486" s="30">
        <f t="shared" si="161"/>
        <v>0</v>
      </c>
      <c r="L486" s="30" t="str">
        <f t="shared" si="162"/>
        <v/>
      </c>
      <c r="M486" s="30" t="e">
        <f t="shared" si="165"/>
        <v>#VALUE!</v>
      </c>
      <c r="N486" s="30"/>
    </row>
    <row r="487" spans="1:14" x14ac:dyDescent="0.25">
      <c r="A487"/>
      <c r="B487"/>
      <c r="C487" s="2" t="str">
        <f t="shared" si="158"/>
        <v/>
      </c>
      <c r="D487" s="30" t="str">
        <f t="shared" si="159"/>
        <v/>
      </c>
      <c r="E487" s="23" t="str">
        <f t="shared" si="163"/>
        <v/>
      </c>
      <c r="F487" s="23" t="str">
        <f t="shared" si="164"/>
        <v/>
      </c>
      <c r="G487" s="52">
        <f t="shared" si="157"/>
        <v>0</v>
      </c>
      <c r="H487" s="30">
        <f t="shared" si="160"/>
        <v>0</v>
      </c>
      <c r="I487" s="24"/>
      <c r="K487" s="30">
        <f t="shared" si="161"/>
        <v>0</v>
      </c>
      <c r="L487" s="30" t="str">
        <f t="shared" si="162"/>
        <v/>
      </c>
      <c r="M487" s="30" t="e">
        <f t="shared" si="165"/>
        <v>#VALUE!</v>
      </c>
      <c r="N487" s="30"/>
    </row>
    <row r="488" spans="1:14" x14ac:dyDescent="0.25">
      <c r="A488"/>
      <c r="B488"/>
      <c r="C488" s="2" t="str">
        <f t="shared" si="158"/>
        <v/>
      </c>
      <c r="D488" s="30" t="str">
        <f t="shared" si="159"/>
        <v/>
      </c>
      <c r="E488" s="23" t="str">
        <f t="shared" si="163"/>
        <v/>
      </c>
      <c r="F488" s="23" t="str">
        <f t="shared" si="164"/>
        <v/>
      </c>
      <c r="G488" s="52">
        <f t="shared" si="157"/>
        <v>0</v>
      </c>
      <c r="H488" s="30">
        <f t="shared" si="160"/>
        <v>0</v>
      </c>
      <c r="I488" s="24"/>
      <c r="K488" s="30">
        <f t="shared" si="161"/>
        <v>0</v>
      </c>
      <c r="L488" s="30" t="str">
        <f t="shared" si="162"/>
        <v/>
      </c>
      <c r="M488" s="30" t="e">
        <f t="shared" si="165"/>
        <v>#VALUE!</v>
      </c>
      <c r="N488" s="30"/>
    </row>
    <row r="489" spans="1:14" x14ac:dyDescent="0.25">
      <c r="A489"/>
      <c r="B489"/>
      <c r="C489" s="2" t="str">
        <f t="shared" si="158"/>
        <v/>
      </c>
      <c r="D489" s="30" t="str">
        <f t="shared" si="159"/>
        <v/>
      </c>
      <c r="E489" s="23" t="str">
        <f t="shared" si="163"/>
        <v/>
      </c>
      <c r="F489" s="23" t="str">
        <f t="shared" si="164"/>
        <v/>
      </c>
      <c r="G489" s="52">
        <f t="shared" si="157"/>
        <v>0</v>
      </c>
      <c r="H489" s="30">
        <f t="shared" si="160"/>
        <v>0</v>
      </c>
      <c r="I489" s="24"/>
      <c r="K489" s="30">
        <f t="shared" si="161"/>
        <v>0</v>
      </c>
      <c r="L489" s="30" t="str">
        <f t="shared" si="162"/>
        <v/>
      </c>
      <c r="M489" s="30" t="e">
        <f t="shared" si="165"/>
        <v>#VALUE!</v>
      </c>
      <c r="N489" s="30"/>
    </row>
    <row r="490" spans="1:14" x14ac:dyDescent="0.25">
      <c r="A490"/>
      <c r="B490"/>
      <c r="C490" s="2" t="str">
        <f t="shared" si="158"/>
        <v/>
      </c>
      <c r="D490" s="30" t="str">
        <f t="shared" si="159"/>
        <v/>
      </c>
      <c r="E490" s="23" t="str">
        <f t="shared" si="163"/>
        <v/>
      </c>
      <c r="F490" s="23" t="str">
        <f t="shared" si="164"/>
        <v/>
      </c>
      <c r="G490" s="52">
        <f t="shared" si="157"/>
        <v>0</v>
      </c>
      <c r="H490" s="30">
        <f t="shared" si="160"/>
        <v>0</v>
      </c>
      <c r="I490" s="24"/>
      <c r="K490" s="30">
        <f t="shared" si="161"/>
        <v>0</v>
      </c>
      <c r="L490" s="30" t="str">
        <f t="shared" si="162"/>
        <v/>
      </c>
      <c r="M490" s="30" t="e">
        <f t="shared" si="165"/>
        <v>#VALUE!</v>
      </c>
      <c r="N490" s="30"/>
    </row>
    <row r="491" spans="1:14" x14ac:dyDescent="0.25">
      <c r="A491"/>
      <c r="B491"/>
      <c r="C491" s="2" t="str">
        <f t="shared" si="158"/>
        <v/>
      </c>
      <c r="D491" s="30" t="str">
        <f t="shared" si="159"/>
        <v/>
      </c>
      <c r="E491" s="23" t="str">
        <f t="shared" si="163"/>
        <v/>
      </c>
      <c r="F491" s="23" t="str">
        <f t="shared" si="164"/>
        <v/>
      </c>
      <c r="G491" s="52">
        <f t="shared" si="157"/>
        <v>0</v>
      </c>
      <c r="H491" s="30">
        <f t="shared" si="160"/>
        <v>0</v>
      </c>
      <c r="I491" s="24"/>
      <c r="K491" s="30">
        <f t="shared" si="161"/>
        <v>0</v>
      </c>
      <c r="L491" s="30" t="str">
        <f t="shared" si="162"/>
        <v/>
      </c>
      <c r="M491" s="30" t="e">
        <f t="shared" si="165"/>
        <v>#VALUE!</v>
      </c>
      <c r="N491" s="30"/>
    </row>
    <row r="492" spans="1:14" x14ac:dyDescent="0.25">
      <c r="A492"/>
      <c r="B492"/>
      <c r="C492" s="2" t="str">
        <f t="shared" si="158"/>
        <v/>
      </c>
      <c r="D492" s="30" t="str">
        <f t="shared" si="159"/>
        <v/>
      </c>
      <c r="E492" s="23" t="str">
        <f t="shared" si="163"/>
        <v/>
      </c>
      <c r="F492" s="23" t="str">
        <f t="shared" si="164"/>
        <v/>
      </c>
      <c r="G492" s="52">
        <f t="shared" si="157"/>
        <v>0</v>
      </c>
      <c r="H492" s="30">
        <f t="shared" si="160"/>
        <v>0</v>
      </c>
      <c r="I492" s="24"/>
      <c r="K492" s="30">
        <f t="shared" si="161"/>
        <v>0</v>
      </c>
      <c r="L492" s="30" t="str">
        <f t="shared" si="162"/>
        <v/>
      </c>
      <c r="M492" s="30" t="e">
        <f t="shared" si="165"/>
        <v>#VALUE!</v>
      </c>
      <c r="N492" s="30"/>
    </row>
    <row r="493" spans="1:14" x14ac:dyDescent="0.25">
      <c r="A493"/>
      <c r="B493"/>
      <c r="C493" s="2" t="str">
        <f t="shared" si="158"/>
        <v/>
      </c>
      <c r="D493" s="30" t="str">
        <f t="shared" si="159"/>
        <v/>
      </c>
      <c r="E493" s="23" t="str">
        <f t="shared" si="163"/>
        <v/>
      </c>
      <c r="F493" s="23" t="str">
        <f t="shared" si="164"/>
        <v/>
      </c>
      <c r="G493" s="52">
        <f t="shared" si="157"/>
        <v>0</v>
      </c>
      <c r="H493" s="30">
        <f t="shared" si="160"/>
        <v>0</v>
      </c>
      <c r="I493" s="24"/>
      <c r="K493" s="30">
        <f t="shared" si="161"/>
        <v>0</v>
      </c>
      <c r="L493" s="30" t="str">
        <f t="shared" si="162"/>
        <v/>
      </c>
      <c r="M493" s="30" t="e">
        <f t="shared" si="165"/>
        <v>#VALUE!</v>
      </c>
      <c r="N493" s="30"/>
    </row>
    <row r="494" spans="1:14" x14ac:dyDescent="0.25">
      <c r="A494"/>
      <c r="B494"/>
      <c r="C494" s="2" t="str">
        <f t="shared" si="158"/>
        <v/>
      </c>
      <c r="D494" s="30" t="str">
        <f t="shared" si="159"/>
        <v/>
      </c>
      <c r="E494" s="23" t="str">
        <f t="shared" si="163"/>
        <v/>
      </c>
      <c r="F494" s="23" t="str">
        <f t="shared" si="164"/>
        <v/>
      </c>
      <c r="G494" s="52">
        <f t="shared" si="157"/>
        <v>0</v>
      </c>
      <c r="H494" s="30">
        <f t="shared" si="160"/>
        <v>0</v>
      </c>
      <c r="I494" s="24"/>
      <c r="K494" s="30">
        <f t="shared" si="161"/>
        <v>0</v>
      </c>
      <c r="L494" s="30" t="str">
        <f t="shared" si="162"/>
        <v/>
      </c>
      <c r="M494" s="30" t="e">
        <f t="shared" si="165"/>
        <v>#VALUE!</v>
      </c>
      <c r="N494" s="30"/>
    </row>
    <row r="495" spans="1:14" x14ac:dyDescent="0.25">
      <c r="A495"/>
      <c r="B495"/>
      <c r="C495" s="2" t="str">
        <f t="shared" si="158"/>
        <v/>
      </c>
      <c r="D495" s="30" t="str">
        <f t="shared" si="159"/>
        <v/>
      </c>
      <c r="E495" s="23" t="str">
        <f t="shared" si="163"/>
        <v/>
      </c>
      <c r="F495" s="23" t="str">
        <f t="shared" si="164"/>
        <v/>
      </c>
      <c r="G495" s="52">
        <f t="shared" si="157"/>
        <v>0</v>
      </c>
      <c r="H495" s="30">
        <f t="shared" si="160"/>
        <v>0</v>
      </c>
      <c r="I495" s="24"/>
      <c r="K495" s="30">
        <f t="shared" si="161"/>
        <v>0</v>
      </c>
      <c r="L495" s="30" t="str">
        <f t="shared" si="162"/>
        <v/>
      </c>
      <c r="M495" s="30" t="e">
        <f t="shared" si="165"/>
        <v>#VALUE!</v>
      </c>
      <c r="N495" s="30"/>
    </row>
    <row r="496" spans="1:14" x14ac:dyDescent="0.25">
      <c r="A496"/>
      <c r="B496"/>
      <c r="C496" s="2" t="str">
        <f t="shared" si="158"/>
        <v/>
      </c>
      <c r="D496" s="30" t="str">
        <f t="shared" si="159"/>
        <v/>
      </c>
      <c r="E496" s="23" t="str">
        <f t="shared" si="163"/>
        <v/>
      </c>
      <c r="F496" s="23" t="str">
        <f t="shared" si="164"/>
        <v/>
      </c>
      <c r="G496" s="52">
        <f t="shared" si="157"/>
        <v>0</v>
      </c>
      <c r="H496" s="30">
        <f t="shared" si="160"/>
        <v>0</v>
      </c>
      <c r="I496" s="24"/>
      <c r="K496" s="30">
        <f t="shared" si="161"/>
        <v>0</v>
      </c>
      <c r="L496" s="30" t="str">
        <f t="shared" si="162"/>
        <v/>
      </c>
      <c r="M496" s="30" t="e">
        <f t="shared" si="165"/>
        <v>#VALUE!</v>
      </c>
      <c r="N496" s="30"/>
    </row>
    <row r="497" spans="1:14" x14ac:dyDescent="0.25">
      <c r="A497"/>
      <c r="B497"/>
      <c r="C497" s="2" t="str">
        <f t="shared" si="158"/>
        <v/>
      </c>
      <c r="D497" s="30" t="str">
        <f t="shared" si="159"/>
        <v/>
      </c>
      <c r="E497" s="23" t="str">
        <f t="shared" si="163"/>
        <v/>
      </c>
      <c r="F497" s="23" t="str">
        <f t="shared" si="164"/>
        <v/>
      </c>
      <c r="G497" s="52">
        <f t="shared" si="157"/>
        <v>0</v>
      </c>
      <c r="H497" s="30">
        <f t="shared" si="160"/>
        <v>0</v>
      </c>
      <c r="I497" s="24"/>
      <c r="K497" s="30">
        <f t="shared" si="161"/>
        <v>0</v>
      </c>
      <c r="L497" s="30" t="str">
        <f t="shared" si="162"/>
        <v/>
      </c>
      <c r="M497" s="30" t="e">
        <f t="shared" si="165"/>
        <v>#VALUE!</v>
      </c>
      <c r="N497" s="30"/>
    </row>
    <row r="498" spans="1:14" x14ac:dyDescent="0.25">
      <c r="A498"/>
      <c r="B498"/>
      <c r="C498" s="2" t="str">
        <f t="shared" si="158"/>
        <v/>
      </c>
      <c r="D498" s="30" t="str">
        <f t="shared" si="159"/>
        <v/>
      </c>
      <c r="E498" s="23" t="str">
        <f t="shared" si="163"/>
        <v/>
      </c>
      <c r="F498" s="23" t="str">
        <f t="shared" si="164"/>
        <v/>
      </c>
      <c r="G498" s="52">
        <f t="shared" si="157"/>
        <v>0</v>
      </c>
      <c r="H498" s="30">
        <f t="shared" si="160"/>
        <v>0</v>
      </c>
      <c r="I498" s="24"/>
      <c r="K498" s="30">
        <f t="shared" si="161"/>
        <v>0</v>
      </c>
      <c r="L498" s="30" t="str">
        <f t="shared" si="162"/>
        <v/>
      </c>
      <c r="M498" s="30" t="e">
        <f t="shared" si="165"/>
        <v>#VALUE!</v>
      </c>
      <c r="N498" s="30"/>
    </row>
    <row r="499" spans="1:14" x14ac:dyDescent="0.25">
      <c r="A499"/>
      <c r="B499"/>
      <c r="C499" s="2" t="str">
        <f t="shared" si="158"/>
        <v/>
      </c>
      <c r="D499" s="30" t="str">
        <f t="shared" si="159"/>
        <v/>
      </c>
      <c r="E499" s="23" t="str">
        <f t="shared" si="163"/>
        <v/>
      </c>
      <c r="F499" s="23" t="str">
        <f t="shared" si="164"/>
        <v/>
      </c>
      <c r="G499" s="52">
        <f t="shared" si="157"/>
        <v>0</v>
      </c>
      <c r="H499" s="30">
        <f t="shared" si="160"/>
        <v>0</v>
      </c>
      <c r="I499" s="24"/>
      <c r="K499" s="30">
        <f t="shared" si="161"/>
        <v>0</v>
      </c>
      <c r="L499" s="30" t="str">
        <f t="shared" si="162"/>
        <v/>
      </c>
      <c r="M499" s="30" t="e">
        <f t="shared" si="165"/>
        <v>#VALUE!</v>
      </c>
      <c r="N499" s="30"/>
    </row>
    <row r="500" spans="1:14" x14ac:dyDescent="0.25">
      <c r="A500"/>
      <c r="B500"/>
      <c r="C500" s="2" t="str">
        <f t="shared" si="158"/>
        <v/>
      </c>
      <c r="D500" s="30" t="str">
        <f t="shared" si="159"/>
        <v/>
      </c>
      <c r="E500" s="23" t="str">
        <f t="shared" si="163"/>
        <v/>
      </c>
      <c r="F500" s="23" t="str">
        <f t="shared" si="164"/>
        <v/>
      </c>
      <c r="G500" s="52">
        <f t="shared" si="157"/>
        <v>0</v>
      </c>
      <c r="H500" s="30">
        <f t="shared" si="160"/>
        <v>0</v>
      </c>
      <c r="I500" s="24"/>
      <c r="K500" s="30">
        <f t="shared" si="161"/>
        <v>0</v>
      </c>
      <c r="L500" s="30" t="str">
        <f t="shared" si="162"/>
        <v/>
      </c>
      <c r="M500" s="30" t="e">
        <f t="shared" si="165"/>
        <v>#VALUE!</v>
      </c>
      <c r="N500" s="30"/>
    </row>
    <row r="501" spans="1:14" x14ac:dyDescent="0.25">
      <c r="B501" s="53"/>
      <c r="C501" s="2" t="str">
        <f t="shared" si="158"/>
        <v/>
      </c>
      <c r="D501" s="30" t="str">
        <f t="shared" si="159"/>
        <v/>
      </c>
      <c r="E501" s="23" t="str">
        <f t="shared" si="163"/>
        <v/>
      </c>
      <c r="F501" s="23" t="str">
        <f t="shared" si="164"/>
        <v/>
      </c>
      <c r="G501" s="52">
        <f t="shared" si="157"/>
        <v>0</v>
      </c>
      <c r="H501" s="30">
        <f t="shared" si="160"/>
        <v>0</v>
      </c>
      <c r="I501" s="24"/>
      <c r="K501" s="30">
        <f t="shared" si="161"/>
        <v>0</v>
      </c>
      <c r="L501" s="30" t="str">
        <f t="shared" si="162"/>
        <v/>
      </c>
      <c r="M501" s="30" t="e">
        <f t="shared" si="165"/>
        <v>#VALUE!</v>
      </c>
      <c r="N501" s="30"/>
    </row>
    <row r="502" spans="1:14" x14ac:dyDescent="0.25">
      <c r="B502" s="53"/>
      <c r="C502" s="2" t="str">
        <f t="shared" si="158"/>
        <v/>
      </c>
      <c r="D502" s="30" t="str">
        <f t="shared" si="159"/>
        <v/>
      </c>
      <c r="E502" s="23" t="str">
        <f t="shared" si="163"/>
        <v/>
      </c>
      <c r="F502" s="23" t="str">
        <f t="shared" si="164"/>
        <v/>
      </c>
      <c r="G502" s="52">
        <f t="shared" si="157"/>
        <v>0</v>
      </c>
      <c r="H502" s="30">
        <f t="shared" si="160"/>
        <v>0</v>
      </c>
      <c r="I502" s="24"/>
      <c r="K502" s="30">
        <f t="shared" si="161"/>
        <v>0</v>
      </c>
      <c r="L502" s="30" t="str">
        <f t="shared" si="162"/>
        <v/>
      </c>
      <c r="M502" s="30" t="e">
        <f t="shared" si="165"/>
        <v>#VALUE!</v>
      </c>
      <c r="N502" s="30"/>
    </row>
    <row r="503" spans="1:14" x14ac:dyDescent="0.25">
      <c r="B503" s="53"/>
      <c r="C503" s="2" t="str">
        <f t="shared" si="158"/>
        <v/>
      </c>
      <c r="D503" s="30" t="str">
        <f t="shared" si="159"/>
        <v/>
      </c>
      <c r="E503" s="23" t="str">
        <f t="shared" si="163"/>
        <v/>
      </c>
      <c r="F503" s="23" t="str">
        <f t="shared" si="164"/>
        <v/>
      </c>
      <c r="L503" s="30" t="str">
        <f>+IF(C503="","",D503-F503-I503)</f>
        <v/>
      </c>
    </row>
  </sheetData>
  <mergeCells count="1">
    <mergeCell ref="K9:L9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66675</xdr:colOff>
                <xdr:row>0</xdr:row>
                <xdr:rowOff>123825</xdr:rowOff>
              </from>
              <to>
                <xdr:col>7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D12"/>
  <sheetViews>
    <sheetView workbookViewId="0">
      <selection activeCell="A15" sqref="A15"/>
    </sheetView>
  </sheetViews>
  <sheetFormatPr defaultColWidth="8.85546875" defaultRowHeight="15" x14ac:dyDescent="0.25"/>
  <cols>
    <col min="1" max="1" width="45.140625" bestFit="1" customWidth="1"/>
    <col min="2" max="2" width="11.28515625" bestFit="1" customWidth="1"/>
    <col min="3" max="3" width="12.7109375" bestFit="1" customWidth="1"/>
    <col min="4" max="4" width="18" bestFit="1" customWidth="1"/>
  </cols>
  <sheetData>
    <row r="5" spans="1:4" ht="15.75" thickBot="1" x14ac:dyDescent="0.3"/>
    <row r="6" spans="1:4" x14ac:dyDescent="0.25">
      <c r="A6" s="35" t="s">
        <v>44</v>
      </c>
      <c r="B6" s="36" t="s">
        <v>46</v>
      </c>
      <c r="C6" s="36" t="s">
        <v>47</v>
      </c>
      <c r="D6" s="37" t="s">
        <v>45</v>
      </c>
    </row>
    <row r="7" spans="1:4" x14ac:dyDescent="0.25">
      <c r="A7" s="38" t="s">
        <v>48</v>
      </c>
      <c r="B7" s="34">
        <v>42532</v>
      </c>
      <c r="C7" s="33"/>
      <c r="D7" s="39">
        <v>2145</v>
      </c>
    </row>
    <row r="8" spans="1:4" x14ac:dyDescent="0.25">
      <c r="A8" s="38" t="s">
        <v>49</v>
      </c>
      <c r="B8" s="34">
        <v>42155</v>
      </c>
      <c r="C8" s="34">
        <v>42532</v>
      </c>
      <c r="D8" s="39">
        <v>2100</v>
      </c>
    </row>
    <row r="9" spans="1:4" ht="15.75" thickBot="1" x14ac:dyDescent="0.3">
      <c r="A9" s="40" t="s">
        <v>50</v>
      </c>
      <c r="B9" s="41">
        <v>42098</v>
      </c>
      <c r="C9" s="41">
        <v>42155</v>
      </c>
      <c r="D9" s="42" t="s">
        <v>51</v>
      </c>
    </row>
    <row r="10" spans="1:4" ht="15.75" thickBot="1" x14ac:dyDescent="0.3"/>
    <row r="11" spans="1:4" x14ac:dyDescent="0.25">
      <c r="A11" s="43" t="s">
        <v>54</v>
      </c>
      <c r="B11" s="44"/>
      <c r="C11" s="44"/>
      <c r="D11" s="45"/>
    </row>
    <row r="12" spans="1:4" ht="15.75" thickBot="1" x14ac:dyDescent="0.3">
      <c r="A12" s="40" t="s">
        <v>52</v>
      </c>
      <c r="B12" s="41">
        <v>41177</v>
      </c>
      <c r="C12" s="41">
        <v>42098</v>
      </c>
      <c r="D12" s="46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S502"/>
  <sheetViews>
    <sheetView workbookViewId="0">
      <selection activeCell="C19" sqref="C19"/>
    </sheetView>
  </sheetViews>
  <sheetFormatPr defaultColWidth="8.85546875" defaultRowHeight="15" x14ac:dyDescent="0.25"/>
  <cols>
    <col min="1" max="1" width="8.85546875" style="2"/>
    <col min="2" max="2" width="16.85546875" style="2" customWidth="1"/>
    <col min="3" max="3" width="14.28515625" style="2" customWidth="1"/>
    <col min="4" max="4" width="14.42578125" style="2" customWidth="1"/>
    <col min="5" max="5" width="15.85546875" style="2" customWidth="1"/>
    <col min="6" max="6" width="12.7109375" style="2" customWidth="1"/>
    <col min="7" max="7" width="13.7109375" style="2" customWidth="1"/>
    <col min="8" max="8" width="0.140625" style="2" customWidth="1"/>
    <col min="9" max="9" width="11.7109375" style="2" customWidth="1"/>
    <col min="10" max="10" width="12.42578125" style="2" customWidth="1"/>
    <col min="11" max="11" width="13.85546875" style="2" customWidth="1"/>
    <col min="12" max="12" width="12.42578125" style="2" customWidth="1"/>
    <col min="13" max="13" width="10.7109375" style="2" customWidth="1"/>
    <col min="14" max="14" width="12.28515625" style="2" customWidth="1"/>
    <col min="15" max="16" width="12" style="2" customWidth="1"/>
    <col min="17" max="17" width="12.28515625" style="2" bestFit="1" customWidth="1"/>
    <col min="18" max="19" width="12.7109375" style="2" customWidth="1"/>
    <col min="20" max="16384" width="8.85546875" style="2"/>
  </cols>
  <sheetData>
    <row r="2" spans="2:19" ht="23.1" customHeight="1" x14ac:dyDescent="0.4">
      <c r="B2" s="1" t="s">
        <v>7</v>
      </c>
      <c r="F2" s="3"/>
      <c r="L2" s="4"/>
      <c r="M2" s="4"/>
    </row>
    <row r="3" spans="2:19" ht="18.95" customHeight="1" x14ac:dyDescent="0.4">
      <c r="B3" s="1"/>
      <c r="F3" s="3"/>
      <c r="L3" s="3"/>
      <c r="M3" s="3"/>
      <c r="N3" s="10"/>
      <c r="O3" s="32" t="s">
        <v>41</v>
      </c>
      <c r="P3" s="8">
        <f>SUM(M11:M500)</f>
        <v>0</v>
      </c>
    </row>
    <row r="4" spans="2:19" x14ac:dyDescent="0.25">
      <c r="B4" s="32" t="s">
        <v>15</v>
      </c>
      <c r="C4" s="6">
        <v>82500</v>
      </c>
      <c r="E4" s="32" t="s">
        <v>8</v>
      </c>
      <c r="F4" s="7">
        <v>0</v>
      </c>
      <c r="G4" s="8">
        <f>+(C4*F4)/12</f>
        <v>0</v>
      </c>
      <c r="J4" s="32"/>
      <c r="K4" s="32" t="s">
        <v>22</v>
      </c>
      <c r="L4" s="32">
        <v>0</v>
      </c>
      <c r="M4" s="9"/>
      <c r="N4" s="10"/>
      <c r="O4" s="32" t="s">
        <v>19</v>
      </c>
      <c r="P4" s="8">
        <f>SUM(D12:D501)</f>
        <v>81504.499536143776</v>
      </c>
      <c r="R4" s="32" t="s">
        <v>29</v>
      </c>
      <c r="S4" s="11">
        <v>2145</v>
      </c>
    </row>
    <row r="5" spans="2:19" x14ac:dyDescent="0.25">
      <c r="B5" s="32" t="s">
        <v>3</v>
      </c>
      <c r="C5" s="12">
        <v>5.2499999999999998E-2</v>
      </c>
      <c r="E5" s="32" t="s">
        <v>10</v>
      </c>
      <c r="F5" s="7">
        <v>0</v>
      </c>
      <c r="G5" s="8">
        <f>+F5*C7/12</f>
        <v>0</v>
      </c>
      <c r="J5" s="32"/>
      <c r="K5" s="32" t="s">
        <v>23</v>
      </c>
      <c r="L5" s="13">
        <f>C4-C7</f>
        <v>0</v>
      </c>
      <c r="N5" s="10"/>
      <c r="O5" s="32" t="s">
        <v>30</v>
      </c>
      <c r="P5" s="8">
        <f>SUM(I12:I499)</f>
        <v>0</v>
      </c>
      <c r="R5" s="32" t="s">
        <v>31</v>
      </c>
      <c r="S5" s="14">
        <v>0.03</v>
      </c>
    </row>
    <row r="6" spans="2:19" x14ac:dyDescent="0.25">
      <c r="B6" s="32" t="s">
        <v>4</v>
      </c>
      <c r="C6" s="15">
        <v>360</v>
      </c>
      <c r="E6" s="10"/>
      <c r="F6" s="32" t="s">
        <v>16</v>
      </c>
      <c r="G6" s="16">
        <f>+C8+G5+G4</f>
        <v>455.56805426706615</v>
      </c>
      <c r="H6" s="4"/>
      <c r="I6" s="4"/>
      <c r="J6" s="32"/>
      <c r="K6" s="32" t="s">
        <v>24</v>
      </c>
      <c r="L6" s="16">
        <f>L5+2*G6+0.01*C4</f>
        <v>1736.1361085341323</v>
      </c>
      <c r="N6" s="10"/>
      <c r="O6" s="32" t="s">
        <v>32</v>
      </c>
      <c r="P6" s="8">
        <f>SUM(G12:G499)</f>
        <v>0</v>
      </c>
      <c r="R6" s="10" t="s">
        <v>33</v>
      </c>
      <c r="S6" s="10">
        <v>10</v>
      </c>
    </row>
    <row r="7" spans="2:19" x14ac:dyDescent="0.25">
      <c r="B7" s="32" t="s">
        <v>5</v>
      </c>
      <c r="C7" s="6">
        <f>C4*1</f>
        <v>82500</v>
      </c>
      <c r="E7" s="10"/>
      <c r="F7" s="32" t="s">
        <v>18</v>
      </c>
      <c r="G7" s="8">
        <f>SUM(L12:L501)</f>
        <v>164004.49953614254</v>
      </c>
      <c r="J7" s="32"/>
      <c r="K7" s="32" t="s">
        <v>26</v>
      </c>
      <c r="L7" s="16">
        <f>0.35/100*C4/12</f>
        <v>24.062499999999996</v>
      </c>
      <c r="N7" s="10"/>
      <c r="O7" s="32" t="s">
        <v>34</v>
      </c>
      <c r="P7" s="8">
        <f>SUM(F12:F500)</f>
        <v>0</v>
      </c>
      <c r="R7" s="10" t="s">
        <v>35</v>
      </c>
      <c r="S7" s="11">
        <v>1000</v>
      </c>
    </row>
    <row r="8" spans="2:19" x14ac:dyDescent="0.25">
      <c r="B8" s="32" t="s">
        <v>6</v>
      </c>
      <c r="C8" s="8">
        <f>-PMT(C5/12,C6,C7)</f>
        <v>455.56805426706615</v>
      </c>
      <c r="E8" s="10"/>
      <c r="F8" s="32" t="s">
        <v>19</v>
      </c>
      <c r="G8" s="8">
        <f>SUM(D12:D501)</f>
        <v>81504.499536143776</v>
      </c>
      <c r="J8" s="32"/>
      <c r="K8" s="32" t="s">
        <v>28</v>
      </c>
      <c r="L8" s="17">
        <v>0.04</v>
      </c>
      <c r="N8" s="10"/>
      <c r="O8" s="32" t="s">
        <v>39</v>
      </c>
      <c r="P8" s="8">
        <f>SUM(P3:P7) + C4</f>
        <v>164004.49953614379</v>
      </c>
      <c r="R8" s="10" t="s">
        <v>36</v>
      </c>
      <c r="S8" s="18">
        <f>SUM(R12:R500) + S6*S7</f>
        <v>1234591.2002807327</v>
      </c>
    </row>
    <row r="9" spans="2:19" x14ac:dyDescent="0.25">
      <c r="J9" s="57" t="s">
        <v>40</v>
      </c>
      <c r="K9" s="57"/>
      <c r="L9" s="16">
        <f>$Q371</f>
        <v>267580.29457727185</v>
      </c>
    </row>
    <row r="10" spans="2:19" ht="15.75" thickBot="1" x14ac:dyDescent="0.3">
      <c r="L10" s="19"/>
      <c r="M10" s="19"/>
    </row>
    <row r="11" spans="2:19" ht="48" customHeight="1" x14ac:dyDescent="0.25">
      <c r="B11" s="20" t="s">
        <v>0</v>
      </c>
      <c r="C11" s="21" t="s">
        <v>1</v>
      </c>
      <c r="D11" s="21" t="s">
        <v>12</v>
      </c>
      <c r="E11" s="21" t="s">
        <v>11</v>
      </c>
      <c r="F11" s="21" t="s">
        <v>13</v>
      </c>
      <c r="G11" s="21" t="s">
        <v>9</v>
      </c>
      <c r="H11" s="21" t="s">
        <v>14</v>
      </c>
      <c r="I11" s="21" t="s">
        <v>25</v>
      </c>
      <c r="J11" s="21" t="s">
        <v>17</v>
      </c>
      <c r="K11" s="21" t="s">
        <v>2</v>
      </c>
      <c r="L11" s="21" t="s">
        <v>42</v>
      </c>
      <c r="M11" s="21" t="s">
        <v>21</v>
      </c>
      <c r="N11" s="21" t="s">
        <v>43</v>
      </c>
      <c r="O11" s="21" t="s">
        <v>20</v>
      </c>
      <c r="P11" s="21" t="s">
        <v>37</v>
      </c>
      <c r="Q11" s="21" t="s">
        <v>27</v>
      </c>
      <c r="R11" s="21" t="s">
        <v>38</v>
      </c>
    </row>
    <row r="12" spans="2:19" x14ac:dyDescent="0.25">
      <c r="B12" s="22">
        <v>1</v>
      </c>
      <c r="C12" s="23">
        <f>C7</f>
        <v>82500</v>
      </c>
      <c r="D12" s="23">
        <f>-IPMT($C$5/12,B12,$C$6,$C$7)</f>
        <v>360.93749999999994</v>
      </c>
      <c r="E12" s="23">
        <f>-PPMT($C$5/12,B12,$C$6,$C$7)</f>
        <v>94.630554267066131</v>
      </c>
      <c r="F12" s="24">
        <f>F13</f>
        <v>0</v>
      </c>
      <c r="G12" s="23">
        <f>+IF(C12&lt;$C$4*0.8,0,$G$5)</f>
        <v>0</v>
      </c>
      <c r="H12" s="24"/>
      <c r="I12" s="23">
        <f>0.35/100*$C$4/12*0</f>
        <v>0</v>
      </c>
      <c r="J12" s="23">
        <f>+E12+H12</f>
        <v>94.630554267066131</v>
      </c>
      <c r="K12" s="23">
        <f>+C12-J12</f>
        <v>82405.36944573294</v>
      </c>
      <c r="L12" s="23">
        <f>I12+H12+G12+F12+E12+D12</f>
        <v>455.56805426706609</v>
      </c>
      <c r="M12" s="23">
        <f t="shared" ref="M12:M75" si="0">+$L$4</f>
        <v>0</v>
      </c>
      <c r="N12" s="23">
        <f t="shared" ref="N12:N75" si="1">(D12+F12)*0.3</f>
        <v>108.28124999999999</v>
      </c>
      <c r="O12" s="23">
        <f t="shared" ref="O12:O75" si="2">L12+M12-N12</f>
        <v>347.28680426706609</v>
      </c>
      <c r="P12" s="23">
        <f t="shared" ref="P12:P75" si="3">O12-E12+M12</f>
        <v>252.65624999999994</v>
      </c>
      <c r="Q12" s="23">
        <f t="shared" ref="Q12:Q23" si="4">$C$4 + $C$4*$L$8</f>
        <v>85800</v>
      </c>
      <c r="R12" s="25">
        <f>$S$4</f>
        <v>2145</v>
      </c>
    </row>
    <row r="13" spans="2:19" x14ac:dyDescent="0.25">
      <c r="B13" s="22">
        <f t="shared" ref="B13:B76" si="5">+IF(K12&gt;1,IF(B12="","",B12+1),"")</f>
        <v>2</v>
      </c>
      <c r="C13" s="23">
        <f t="shared" ref="C13:C76" si="6">+IF(B13="","",K12)</f>
        <v>82405.36944573294</v>
      </c>
      <c r="D13" s="23">
        <f t="shared" ref="D13:D76" si="7">+IF(B13="",0,-IPMT($C$5/12,B13,$C$6,$C$7))</f>
        <v>360.52349132508158</v>
      </c>
      <c r="E13" s="23">
        <f t="shared" ref="E13:E76" si="8">+IF(B13="",0,-PPMT($C$5/12,B13,$C$6,$C$7))</f>
        <v>95.044562941984552</v>
      </c>
      <c r="F13" s="24">
        <f t="shared" ref="F13:F76" si="9">+IF(B13="",0,$G$4)</f>
        <v>0</v>
      </c>
      <c r="G13" s="23">
        <f t="shared" ref="G13:G76" si="10">+IF(B13="",0,IF(C13&lt;$C$4*0.8,0,$G$5))</f>
        <v>0</v>
      </c>
      <c r="H13" s="24"/>
      <c r="I13" s="23">
        <f t="shared" ref="I13:I76" si="11">0.35/100*$C$4/12*0</f>
        <v>0</v>
      </c>
      <c r="J13" s="23">
        <f t="shared" ref="J13:J76" si="12">+IF(B13="",0,E13+H13)</f>
        <v>95.044562941984552</v>
      </c>
      <c r="K13" s="23">
        <f t="shared" ref="K13:K76" si="13">+IF(B13="","",C13-J13)</f>
        <v>82310.324882790956</v>
      </c>
      <c r="L13" s="23">
        <f t="shared" ref="L13:L76" si="14">I13+H13+G13+F13+E13+D13</f>
        <v>455.56805426706615</v>
      </c>
      <c r="M13" s="23">
        <f t="shared" si="0"/>
        <v>0</v>
      </c>
      <c r="N13" s="23">
        <f t="shared" si="1"/>
        <v>108.15704739752447</v>
      </c>
      <c r="O13" s="23">
        <f t="shared" si="2"/>
        <v>347.41100686954167</v>
      </c>
      <c r="P13" s="23">
        <f t="shared" si="3"/>
        <v>252.3664439275571</v>
      </c>
      <c r="Q13" s="23">
        <f t="shared" si="4"/>
        <v>85800</v>
      </c>
      <c r="R13" s="25">
        <f t="shared" ref="R13:R23" si="15">$S$4</f>
        <v>2145</v>
      </c>
    </row>
    <row r="14" spans="2:19" x14ac:dyDescent="0.25">
      <c r="B14" s="22">
        <f t="shared" si="5"/>
        <v>3</v>
      </c>
      <c r="C14" s="23">
        <f t="shared" si="6"/>
        <v>82310.324882790956</v>
      </c>
      <c r="D14" s="23">
        <f t="shared" si="7"/>
        <v>360.1076713622104</v>
      </c>
      <c r="E14" s="23">
        <f t="shared" si="8"/>
        <v>95.460382904855734</v>
      </c>
      <c r="F14" s="24">
        <f t="shared" si="9"/>
        <v>0</v>
      </c>
      <c r="G14" s="23">
        <f t="shared" si="10"/>
        <v>0</v>
      </c>
      <c r="H14" s="24"/>
      <c r="I14" s="23">
        <f t="shared" si="11"/>
        <v>0</v>
      </c>
      <c r="J14" s="23">
        <f t="shared" si="12"/>
        <v>95.460382904855734</v>
      </c>
      <c r="K14" s="23">
        <f t="shared" si="13"/>
        <v>82214.864499886098</v>
      </c>
      <c r="L14" s="23">
        <f t="shared" si="14"/>
        <v>455.56805426706615</v>
      </c>
      <c r="M14" s="23">
        <f t="shared" si="0"/>
        <v>0</v>
      </c>
      <c r="N14" s="23">
        <f t="shared" si="1"/>
        <v>108.03230140866312</v>
      </c>
      <c r="O14" s="23">
        <f t="shared" si="2"/>
        <v>347.53575285840304</v>
      </c>
      <c r="P14" s="23">
        <f t="shared" si="3"/>
        <v>252.07536995354729</v>
      </c>
      <c r="Q14" s="23">
        <f t="shared" si="4"/>
        <v>85800</v>
      </c>
      <c r="R14" s="25">
        <f t="shared" si="15"/>
        <v>2145</v>
      </c>
    </row>
    <row r="15" spans="2:19" x14ac:dyDescent="0.25">
      <c r="B15" s="22">
        <f t="shared" si="5"/>
        <v>4</v>
      </c>
      <c r="C15" s="23">
        <f t="shared" si="6"/>
        <v>82214.864499886098</v>
      </c>
      <c r="D15" s="23">
        <f t="shared" si="7"/>
        <v>359.69003218700163</v>
      </c>
      <c r="E15" s="23">
        <f t="shared" si="8"/>
        <v>95.878022080064468</v>
      </c>
      <c r="F15" s="24">
        <f t="shared" si="9"/>
        <v>0</v>
      </c>
      <c r="G15" s="23">
        <f t="shared" si="10"/>
        <v>0</v>
      </c>
      <c r="H15" s="24"/>
      <c r="I15" s="23">
        <f t="shared" si="11"/>
        <v>0</v>
      </c>
      <c r="J15" s="23">
        <f t="shared" si="12"/>
        <v>95.878022080064468</v>
      </c>
      <c r="K15" s="23">
        <f t="shared" si="13"/>
        <v>82118.986477806029</v>
      </c>
      <c r="L15" s="23">
        <f t="shared" si="14"/>
        <v>455.56805426706609</v>
      </c>
      <c r="M15" s="23">
        <f t="shared" si="0"/>
        <v>0</v>
      </c>
      <c r="N15" s="23">
        <f t="shared" si="1"/>
        <v>107.90700965610048</v>
      </c>
      <c r="O15" s="23">
        <f t="shared" si="2"/>
        <v>347.66104461096563</v>
      </c>
      <c r="P15" s="23">
        <f t="shared" si="3"/>
        <v>251.78302253090118</v>
      </c>
      <c r="Q15" s="23">
        <f t="shared" si="4"/>
        <v>85800</v>
      </c>
      <c r="R15" s="25">
        <f t="shared" si="15"/>
        <v>2145</v>
      </c>
    </row>
    <row r="16" spans="2:19" x14ac:dyDescent="0.25">
      <c r="B16" s="22">
        <f t="shared" si="5"/>
        <v>5</v>
      </c>
      <c r="C16" s="23">
        <f t="shared" si="6"/>
        <v>82118.986477806029</v>
      </c>
      <c r="D16" s="23">
        <f t="shared" si="7"/>
        <v>359.27056584040133</v>
      </c>
      <c r="E16" s="23">
        <f t="shared" si="8"/>
        <v>96.297488426664771</v>
      </c>
      <c r="F16" s="24">
        <f t="shared" si="9"/>
        <v>0</v>
      </c>
      <c r="G16" s="23">
        <f t="shared" si="10"/>
        <v>0</v>
      </c>
      <c r="H16" s="24"/>
      <c r="I16" s="23">
        <f t="shared" si="11"/>
        <v>0</v>
      </c>
      <c r="J16" s="23">
        <f t="shared" si="12"/>
        <v>96.297488426664771</v>
      </c>
      <c r="K16" s="23">
        <f t="shared" si="13"/>
        <v>82022.68898937937</v>
      </c>
      <c r="L16" s="23">
        <f t="shared" si="14"/>
        <v>455.56805426706609</v>
      </c>
      <c r="M16" s="23">
        <f t="shared" si="0"/>
        <v>0</v>
      </c>
      <c r="N16" s="23">
        <f t="shared" si="1"/>
        <v>107.78116975212039</v>
      </c>
      <c r="O16" s="23">
        <f t="shared" si="2"/>
        <v>347.78688451494571</v>
      </c>
      <c r="P16" s="23">
        <f t="shared" si="3"/>
        <v>251.48939608828096</v>
      </c>
      <c r="Q16" s="23">
        <f t="shared" si="4"/>
        <v>85800</v>
      </c>
      <c r="R16" s="25">
        <f t="shared" si="15"/>
        <v>2145</v>
      </c>
    </row>
    <row r="17" spans="2:18" x14ac:dyDescent="0.25">
      <c r="B17" s="22">
        <f t="shared" si="5"/>
        <v>6</v>
      </c>
      <c r="C17" s="23">
        <f t="shared" si="6"/>
        <v>82022.68898937937</v>
      </c>
      <c r="D17" s="23">
        <f t="shared" si="7"/>
        <v>358.84926432853473</v>
      </c>
      <c r="E17" s="23">
        <f t="shared" si="8"/>
        <v>96.718789938531401</v>
      </c>
      <c r="F17" s="24">
        <f t="shared" si="9"/>
        <v>0</v>
      </c>
      <c r="G17" s="23">
        <f t="shared" si="10"/>
        <v>0</v>
      </c>
      <c r="H17" s="24"/>
      <c r="I17" s="23">
        <f t="shared" si="11"/>
        <v>0</v>
      </c>
      <c r="J17" s="23">
        <f t="shared" si="12"/>
        <v>96.718789938531401</v>
      </c>
      <c r="K17" s="23">
        <f t="shared" si="13"/>
        <v>81925.970199440839</v>
      </c>
      <c r="L17" s="23">
        <f t="shared" si="14"/>
        <v>455.56805426706615</v>
      </c>
      <c r="M17" s="23">
        <f t="shared" si="0"/>
        <v>0</v>
      </c>
      <c r="N17" s="23">
        <f t="shared" si="1"/>
        <v>107.65477929856041</v>
      </c>
      <c r="O17" s="23">
        <f t="shared" si="2"/>
        <v>347.91327496850573</v>
      </c>
      <c r="P17" s="23">
        <f t="shared" si="3"/>
        <v>251.19448502997432</v>
      </c>
      <c r="Q17" s="23">
        <f t="shared" si="4"/>
        <v>85800</v>
      </c>
      <c r="R17" s="25">
        <f t="shared" si="15"/>
        <v>2145</v>
      </c>
    </row>
    <row r="18" spans="2:18" x14ac:dyDescent="0.25">
      <c r="B18" s="22">
        <f t="shared" si="5"/>
        <v>7</v>
      </c>
      <c r="C18" s="23">
        <f t="shared" si="6"/>
        <v>81925.970199440839</v>
      </c>
      <c r="D18" s="23">
        <f t="shared" si="7"/>
        <v>358.42611962255364</v>
      </c>
      <c r="E18" s="23">
        <f t="shared" si="8"/>
        <v>97.141934644512503</v>
      </c>
      <c r="F18" s="24">
        <f t="shared" si="9"/>
        <v>0</v>
      </c>
      <c r="G18" s="23">
        <f t="shared" si="10"/>
        <v>0</v>
      </c>
      <c r="H18" s="24"/>
      <c r="I18" s="23">
        <f t="shared" si="11"/>
        <v>0</v>
      </c>
      <c r="J18" s="23">
        <f t="shared" si="12"/>
        <v>97.141934644512503</v>
      </c>
      <c r="K18" s="23">
        <f t="shared" si="13"/>
        <v>81828.828264796321</v>
      </c>
      <c r="L18" s="23">
        <f t="shared" si="14"/>
        <v>455.56805426706615</v>
      </c>
      <c r="M18" s="23">
        <f t="shared" si="0"/>
        <v>0</v>
      </c>
      <c r="N18" s="23">
        <f t="shared" si="1"/>
        <v>107.52783588676608</v>
      </c>
      <c r="O18" s="23">
        <f t="shared" si="2"/>
        <v>348.04021838030008</v>
      </c>
      <c r="P18" s="23">
        <f t="shared" si="3"/>
        <v>250.89828373578757</v>
      </c>
      <c r="Q18" s="23">
        <f t="shared" si="4"/>
        <v>85800</v>
      </c>
      <c r="R18" s="25">
        <f t="shared" si="15"/>
        <v>2145</v>
      </c>
    </row>
    <row r="19" spans="2:18" x14ac:dyDescent="0.25">
      <c r="B19" s="22">
        <f t="shared" si="5"/>
        <v>8</v>
      </c>
      <c r="C19" s="23">
        <f t="shared" si="6"/>
        <v>81828.828264796321</v>
      </c>
      <c r="D19" s="23">
        <f t="shared" si="7"/>
        <v>358.00112365848395</v>
      </c>
      <c r="E19" s="23">
        <f t="shared" si="8"/>
        <v>97.56693060858224</v>
      </c>
      <c r="F19" s="24">
        <f t="shared" si="9"/>
        <v>0</v>
      </c>
      <c r="G19" s="23">
        <f t="shared" si="10"/>
        <v>0</v>
      </c>
      <c r="H19" s="24"/>
      <c r="I19" s="23">
        <f t="shared" si="11"/>
        <v>0</v>
      </c>
      <c r="J19" s="23">
        <f t="shared" si="12"/>
        <v>97.56693060858224</v>
      </c>
      <c r="K19" s="23">
        <f t="shared" si="13"/>
        <v>81731.261334187744</v>
      </c>
      <c r="L19" s="23">
        <f t="shared" si="14"/>
        <v>455.5680542670662</v>
      </c>
      <c r="M19" s="23">
        <f t="shared" si="0"/>
        <v>0</v>
      </c>
      <c r="N19" s="23">
        <f t="shared" si="1"/>
        <v>107.40033709754518</v>
      </c>
      <c r="O19" s="23">
        <f t="shared" si="2"/>
        <v>348.16771716952104</v>
      </c>
      <c r="P19" s="23">
        <f t="shared" si="3"/>
        <v>250.60078656093879</v>
      </c>
      <c r="Q19" s="23">
        <f t="shared" si="4"/>
        <v>85800</v>
      </c>
      <c r="R19" s="25">
        <f t="shared" si="15"/>
        <v>2145</v>
      </c>
    </row>
    <row r="20" spans="2:18" x14ac:dyDescent="0.25">
      <c r="B20" s="22">
        <f t="shared" si="5"/>
        <v>9</v>
      </c>
      <c r="C20" s="23">
        <f t="shared" si="6"/>
        <v>81731.261334187744</v>
      </c>
      <c r="D20" s="23">
        <f t="shared" si="7"/>
        <v>357.57426833707132</v>
      </c>
      <c r="E20" s="23">
        <f t="shared" si="8"/>
        <v>97.993785929994772</v>
      </c>
      <c r="F20" s="24">
        <f t="shared" si="9"/>
        <v>0</v>
      </c>
      <c r="G20" s="23">
        <f t="shared" si="10"/>
        <v>0</v>
      </c>
      <c r="H20" s="24"/>
      <c r="I20" s="23">
        <f t="shared" si="11"/>
        <v>0</v>
      </c>
      <c r="J20" s="23">
        <f t="shared" si="12"/>
        <v>97.993785929994772</v>
      </c>
      <c r="K20" s="23">
        <f t="shared" si="13"/>
        <v>81633.267548257747</v>
      </c>
      <c r="L20" s="23">
        <f t="shared" si="14"/>
        <v>455.56805426706609</v>
      </c>
      <c r="M20" s="23">
        <f t="shared" si="0"/>
        <v>0</v>
      </c>
      <c r="N20" s="23">
        <f t="shared" si="1"/>
        <v>107.27228050112139</v>
      </c>
      <c r="O20" s="23">
        <f t="shared" si="2"/>
        <v>348.29577376594472</v>
      </c>
      <c r="P20" s="23">
        <f t="shared" si="3"/>
        <v>250.30198783594994</v>
      </c>
      <c r="Q20" s="23">
        <f t="shared" si="4"/>
        <v>85800</v>
      </c>
      <c r="R20" s="25">
        <f t="shared" si="15"/>
        <v>2145</v>
      </c>
    </row>
    <row r="21" spans="2:18" x14ac:dyDescent="0.25">
      <c r="B21" s="22">
        <f t="shared" si="5"/>
        <v>10</v>
      </c>
      <c r="C21" s="23">
        <f t="shared" si="6"/>
        <v>81633.267548257747</v>
      </c>
      <c r="D21" s="23">
        <f t="shared" si="7"/>
        <v>357.14554552362762</v>
      </c>
      <c r="E21" s="23">
        <f t="shared" si="8"/>
        <v>98.422508743438513</v>
      </c>
      <c r="F21" s="24">
        <f t="shared" si="9"/>
        <v>0</v>
      </c>
      <c r="G21" s="23">
        <f t="shared" si="10"/>
        <v>0</v>
      </c>
      <c r="H21" s="24"/>
      <c r="I21" s="23">
        <f t="shared" si="11"/>
        <v>0</v>
      </c>
      <c r="J21" s="23">
        <f t="shared" si="12"/>
        <v>98.422508743438513</v>
      </c>
      <c r="K21" s="23">
        <f t="shared" si="13"/>
        <v>81534.845039514315</v>
      </c>
      <c r="L21" s="23">
        <f t="shared" si="14"/>
        <v>455.56805426706615</v>
      </c>
      <c r="M21" s="23">
        <f t="shared" si="0"/>
        <v>0</v>
      </c>
      <c r="N21" s="23">
        <f t="shared" si="1"/>
        <v>107.14366365708828</v>
      </c>
      <c r="O21" s="23">
        <f t="shared" si="2"/>
        <v>348.42439060997788</v>
      </c>
      <c r="P21" s="23">
        <f t="shared" si="3"/>
        <v>250.00188186653935</v>
      </c>
      <c r="Q21" s="23">
        <f t="shared" si="4"/>
        <v>85800</v>
      </c>
      <c r="R21" s="25">
        <f t="shared" si="15"/>
        <v>2145</v>
      </c>
    </row>
    <row r="22" spans="2:18" x14ac:dyDescent="0.25">
      <c r="B22" s="22">
        <f t="shared" si="5"/>
        <v>11</v>
      </c>
      <c r="C22" s="23">
        <f t="shared" si="6"/>
        <v>81534.845039514315</v>
      </c>
      <c r="D22" s="23">
        <f t="shared" si="7"/>
        <v>356.71494704787511</v>
      </c>
      <c r="E22" s="23">
        <f t="shared" si="8"/>
        <v>98.85310721919106</v>
      </c>
      <c r="F22" s="24">
        <f t="shared" si="9"/>
        <v>0</v>
      </c>
      <c r="G22" s="23">
        <f t="shared" si="10"/>
        <v>0</v>
      </c>
      <c r="H22" s="24"/>
      <c r="I22" s="23">
        <f t="shared" si="11"/>
        <v>0</v>
      </c>
      <c r="J22" s="23">
        <f t="shared" si="12"/>
        <v>98.85310721919106</v>
      </c>
      <c r="K22" s="23">
        <f t="shared" si="13"/>
        <v>81435.991932295117</v>
      </c>
      <c r="L22" s="23">
        <f t="shared" si="14"/>
        <v>455.56805426706615</v>
      </c>
      <c r="M22" s="23">
        <f t="shared" si="0"/>
        <v>0</v>
      </c>
      <c r="N22" s="23">
        <f t="shared" si="1"/>
        <v>107.01448411436253</v>
      </c>
      <c r="O22" s="23">
        <f t="shared" si="2"/>
        <v>348.55357015270363</v>
      </c>
      <c r="P22" s="23">
        <f t="shared" si="3"/>
        <v>249.70046293351257</v>
      </c>
      <c r="Q22" s="23">
        <f t="shared" si="4"/>
        <v>85800</v>
      </c>
      <c r="R22" s="25">
        <f t="shared" si="15"/>
        <v>2145</v>
      </c>
    </row>
    <row r="23" spans="2:18" x14ac:dyDescent="0.25">
      <c r="B23" s="22">
        <f t="shared" si="5"/>
        <v>12</v>
      </c>
      <c r="C23" s="23">
        <f t="shared" si="6"/>
        <v>81435.991932295117</v>
      </c>
      <c r="D23" s="23">
        <f t="shared" si="7"/>
        <v>356.28246470379111</v>
      </c>
      <c r="E23" s="23">
        <f t="shared" si="8"/>
        <v>99.285589563275011</v>
      </c>
      <c r="F23" s="24">
        <f t="shared" si="9"/>
        <v>0</v>
      </c>
      <c r="G23" s="23">
        <f t="shared" si="10"/>
        <v>0</v>
      </c>
      <c r="H23" s="24"/>
      <c r="I23" s="23">
        <f t="shared" si="11"/>
        <v>0</v>
      </c>
      <c r="J23" s="23">
        <f t="shared" si="12"/>
        <v>99.285589563275011</v>
      </c>
      <c r="K23" s="23">
        <f t="shared" si="13"/>
        <v>81336.706342731835</v>
      </c>
      <c r="L23" s="23">
        <f t="shared" si="14"/>
        <v>455.56805426706615</v>
      </c>
      <c r="M23" s="23">
        <f t="shared" si="0"/>
        <v>0</v>
      </c>
      <c r="N23" s="23">
        <f t="shared" si="1"/>
        <v>106.88473941113733</v>
      </c>
      <c r="O23" s="23">
        <f t="shared" si="2"/>
        <v>348.68331485592881</v>
      </c>
      <c r="P23" s="23">
        <f t="shared" si="3"/>
        <v>249.3977252926538</v>
      </c>
      <c r="Q23" s="23">
        <f t="shared" si="4"/>
        <v>85800</v>
      </c>
      <c r="R23" s="25">
        <f t="shared" si="15"/>
        <v>2145</v>
      </c>
    </row>
    <row r="24" spans="2:18" x14ac:dyDescent="0.25">
      <c r="B24" s="22">
        <f t="shared" si="5"/>
        <v>13</v>
      </c>
      <c r="C24" s="23">
        <f t="shared" si="6"/>
        <v>81336.706342731835</v>
      </c>
      <c r="D24" s="23">
        <f t="shared" si="7"/>
        <v>355.84809024945179</v>
      </c>
      <c r="E24" s="23">
        <f t="shared" si="8"/>
        <v>99.71996401761433</v>
      </c>
      <c r="F24" s="24">
        <f t="shared" si="9"/>
        <v>0</v>
      </c>
      <c r="G24" s="23">
        <f t="shared" si="10"/>
        <v>0</v>
      </c>
      <c r="H24" s="24"/>
      <c r="I24" s="23">
        <f t="shared" si="11"/>
        <v>0</v>
      </c>
      <c r="J24" s="23">
        <f t="shared" si="12"/>
        <v>99.71996401761433</v>
      </c>
      <c r="K24" s="23">
        <f t="shared" si="13"/>
        <v>81236.986378714224</v>
      </c>
      <c r="L24" s="23">
        <f t="shared" si="14"/>
        <v>455.56805426706615</v>
      </c>
      <c r="M24" s="23">
        <f t="shared" si="0"/>
        <v>0</v>
      </c>
      <c r="N24" s="23">
        <f t="shared" si="1"/>
        <v>106.75442707483553</v>
      </c>
      <c r="O24" s="23">
        <f t="shared" si="2"/>
        <v>348.81362719223063</v>
      </c>
      <c r="P24" s="23">
        <f t="shared" si="3"/>
        <v>249.0936631746163</v>
      </c>
      <c r="Q24" s="23">
        <f t="shared" ref="Q24:Q35" si="16">$Q$23 + $Q$23*$L$8</f>
        <v>89232</v>
      </c>
      <c r="R24" s="25">
        <f>$R$23 + ($R$23 * $S$5)</f>
        <v>2209.35</v>
      </c>
    </row>
    <row r="25" spans="2:18" x14ac:dyDescent="0.25">
      <c r="B25" s="22">
        <f t="shared" si="5"/>
        <v>14</v>
      </c>
      <c r="C25" s="23">
        <f t="shared" si="6"/>
        <v>81236.986378714224</v>
      </c>
      <c r="D25" s="23">
        <f t="shared" si="7"/>
        <v>355.41181540687478</v>
      </c>
      <c r="E25" s="23">
        <f t="shared" si="8"/>
        <v>100.15623886019139</v>
      </c>
      <c r="F25" s="24">
        <f t="shared" si="9"/>
        <v>0</v>
      </c>
      <c r="G25" s="23">
        <f t="shared" si="10"/>
        <v>0</v>
      </c>
      <c r="H25" s="24"/>
      <c r="I25" s="23">
        <f t="shared" si="11"/>
        <v>0</v>
      </c>
      <c r="J25" s="23">
        <f t="shared" si="12"/>
        <v>100.15623886019139</v>
      </c>
      <c r="K25" s="23">
        <f t="shared" si="13"/>
        <v>81136.830139854035</v>
      </c>
      <c r="L25" s="23">
        <f t="shared" si="14"/>
        <v>455.56805426706615</v>
      </c>
      <c r="M25" s="23">
        <f t="shared" si="0"/>
        <v>0</v>
      </c>
      <c r="N25" s="23">
        <f t="shared" si="1"/>
        <v>106.62354462206243</v>
      </c>
      <c r="O25" s="23">
        <f t="shared" si="2"/>
        <v>348.94450964500373</v>
      </c>
      <c r="P25" s="23">
        <f t="shared" si="3"/>
        <v>248.78827078481234</v>
      </c>
      <c r="Q25" s="23">
        <f t="shared" si="16"/>
        <v>89232</v>
      </c>
      <c r="R25" s="25">
        <f t="shared" ref="R25:R35" si="17">$R$23 + ($R$23 * $S$5)</f>
        <v>2209.35</v>
      </c>
    </row>
    <row r="26" spans="2:18" x14ac:dyDescent="0.25">
      <c r="B26" s="22">
        <f t="shared" si="5"/>
        <v>15</v>
      </c>
      <c r="C26" s="23">
        <f t="shared" si="6"/>
        <v>81136.830139854035</v>
      </c>
      <c r="D26" s="23">
        <f t="shared" si="7"/>
        <v>354.97363186186141</v>
      </c>
      <c r="E26" s="23">
        <f t="shared" si="8"/>
        <v>100.59442240520472</v>
      </c>
      <c r="F26" s="24">
        <f t="shared" si="9"/>
        <v>0</v>
      </c>
      <c r="G26" s="23">
        <f t="shared" si="10"/>
        <v>0</v>
      </c>
      <c r="H26" s="24"/>
      <c r="I26" s="23">
        <f t="shared" si="11"/>
        <v>0</v>
      </c>
      <c r="J26" s="23">
        <f t="shared" si="12"/>
        <v>100.59442240520472</v>
      </c>
      <c r="K26" s="23">
        <f t="shared" si="13"/>
        <v>81036.235717448828</v>
      </c>
      <c r="L26" s="23">
        <f t="shared" si="14"/>
        <v>455.56805426706615</v>
      </c>
      <c r="M26" s="23">
        <f t="shared" si="0"/>
        <v>0</v>
      </c>
      <c r="N26" s="23">
        <f t="shared" si="1"/>
        <v>106.49208955855842</v>
      </c>
      <c r="O26" s="23">
        <f t="shared" si="2"/>
        <v>349.07596470850774</v>
      </c>
      <c r="P26" s="23">
        <f t="shared" si="3"/>
        <v>248.481542303303</v>
      </c>
      <c r="Q26" s="23">
        <f t="shared" si="16"/>
        <v>89232</v>
      </c>
      <c r="R26" s="25">
        <f t="shared" si="17"/>
        <v>2209.35</v>
      </c>
    </row>
    <row r="27" spans="2:18" x14ac:dyDescent="0.25">
      <c r="B27" s="22">
        <f t="shared" si="5"/>
        <v>16</v>
      </c>
      <c r="C27" s="23">
        <f t="shared" si="6"/>
        <v>81036.235717448828</v>
      </c>
      <c r="D27" s="23">
        <f t="shared" si="7"/>
        <v>354.53353126383865</v>
      </c>
      <c r="E27" s="23">
        <f t="shared" si="8"/>
        <v>101.03452300322752</v>
      </c>
      <c r="F27" s="24">
        <f t="shared" si="9"/>
        <v>0</v>
      </c>
      <c r="G27" s="23">
        <f t="shared" si="10"/>
        <v>0</v>
      </c>
      <c r="H27" s="24"/>
      <c r="I27" s="23">
        <f t="shared" si="11"/>
        <v>0</v>
      </c>
      <c r="J27" s="23">
        <f t="shared" si="12"/>
        <v>101.03452300322752</v>
      </c>
      <c r="K27" s="23">
        <f t="shared" si="13"/>
        <v>80935.201194445603</v>
      </c>
      <c r="L27" s="23">
        <f t="shared" si="14"/>
        <v>455.56805426706615</v>
      </c>
      <c r="M27" s="23">
        <f t="shared" si="0"/>
        <v>0</v>
      </c>
      <c r="N27" s="23">
        <f t="shared" si="1"/>
        <v>106.36005937915159</v>
      </c>
      <c r="O27" s="23">
        <f t="shared" si="2"/>
        <v>349.20799488791454</v>
      </c>
      <c r="P27" s="23">
        <f t="shared" si="3"/>
        <v>248.17347188468702</v>
      </c>
      <c r="Q27" s="23">
        <f t="shared" si="16"/>
        <v>89232</v>
      </c>
      <c r="R27" s="25">
        <f t="shared" si="17"/>
        <v>2209.35</v>
      </c>
    </row>
    <row r="28" spans="2:18" x14ac:dyDescent="0.25">
      <c r="B28" s="22">
        <f t="shared" si="5"/>
        <v>17</v>
      </c>
      <c r="C28" s="23">
        <f t="shared" si="6"/>
        <v>80935.201194445603</v>
      </c>
      <c r="D28" s="23">
        <f t="shared" si="7"/>
        <v>354.09150522569945</v>
      </c>
      <c r="E28" s="23">
        <f t="shared" si="8"/>
        <v>101.47654904136664</v>
      </c>
      <c r="F28" s="24">
        <f t="shared" si="9"/>
        <v>0</v>
      </c>
      <c r="G28" s="23">
        <f t="shared" si="10"/>
        <v>0</v>
      </c>
      <c r="H28" s="24"/>
      <c r="I28" s="23">
        <f t="shared" si="11"/>
        <v>0</v>
      </c>
      <c r="J28" s="23">
        <f t="shared" si="12"/>
        <v>101.47654904136664</v>
      </c>
      <c r="K28" s="23">
        <f t="shared" si="13"/>
        <v>80833.724645404232</v>
      </c>
      <c r="L28" s="23">
        <f t="shared" si="14"/>
        <v>455.56805426706609</v>
      </c>
      <c r="M28" s="23">
        <f t="shared" si="0"/>
        <v>0</v>
      </c>
      <c r="N28" s="23">
        <f t="shared" si="1"/>
        <v>106.22745156770983</v>
      </c>
      <c r="O28" s="23">
        <f t="shared" si="2"/>
        <v>349.34060269935628</v>
      </c>
      <c r="P28" s="23">
        <f t="shared" si="3"/>
        <v>247.86405365798964</v>
      </c>
      <c r="Q28" s="23">
        <f t="shared" si="16"/>
        <v>89232</v>
      </c>
      <c r="R28" s="25">
        <f t="shared" si="17"/>
        <v>2209.35</v>
      </c>
    </row>
    <row r="29" spans="2:18" x14ac:dyDescent="0.25">
      <c r="B29" s="22">
        <f t="shared" si="5"/>
        <v>18</v>
      </c>
      <c r="C29" s="23">
        <f t="shared" si="6"/>
        <v>80833.724645404232</v>
      </c>
      <c r="D29" s="23">
        <f t="shared" si="7"/>
        <v>353.64754532364356</v>
      </c>
      <c r="E29" s="23">
        <f t="shared" si="8"/>
        <v>101.9205089434226</v>
      </c>
      <c r="F29" s="24">
        <f t="shared" si="9"/>
        <v>0</v>
      </c>
      <c r="G29" s="23">
        <f t="shared" si="10"/>
        <v>0</v>
      </c>
      <c r="H29" s="24"/>
      <c r="I29" s="23">
        <f t="shared" si="11"/>
        <v>0</v>
      </c>
      <c r="J29" s="23">
        <f t="shared" si="12"/>
        <v>101.9205089434226</v>
      </c>
      <c r="K29" s="23">
        <f t="shared" si="13"/>
        <v>80731.804136460807</v>
      </c>
      <c r="L29" s="23">
        <f t="shared" si="14"/>
        <v>455.56805426706615</v>
      </c>
      <c r="M29" s="23">
        <f t="shared" si="0"/>
        <v>0</v>
      </c>
      <c r="N29" s="23">
        <f t="shared" si="1"/>
        <v>106.09426359709306</v>
      </c>
      <c r="O29" s="23">
        <f t="shared" si="2"/>
        <v>349.47379066997308</v>
      </c>
      <c r="P29" s="23">
        <f t="shared" si="3"/>
        <v>247.55328172655049</v>
      </c>
      <c r="Q29" s="23">
        <f t="shared" si="16"/>
        <v>89232</v>
      </c>
      <c r="R29" s="25">
        <f t="shared" si="17"/>
        <v>2209.35</v>
      </c>
    </row>
    <row r="30" spans="2:18" x14ac:dyDescent="0.25">
      <c r="B30" s="22">
        <f t="shared" si="5"/>
        <v>19</v>
      </c>
      <c r="C30" s="23">
        <f t="shared" si="6"/>
        <v>80731.804136460807</v>
      </c>
      <c r="D30" s="23">
        <f t="shared" si="7"/>
        <v>353.20164309701607</v>
      </c>
      <c r="E30" s="23">
        <f t="shared" si="8"/>
        <v>102.36641117005009</v>
      </c>
      <c r="F30" s="24">
        <f t="shared" si="9"/>
        <v>0</v>
      </c>
      <c r="G30" s="23">
        <f t="shared" si="10"/>
        <v>0</v>
      </c>
      <c r="H30" s="24"/>
      <c r="I30" s="23">
        <f t="shared" si="11"/>
        <v>0</v>
      </c>
      <c r="J30" s="23">
        <f t="shared" si="12"/>
        <v>102.36641117005009</v>
      </c>
      <c r="K30" s="23">
        <f t="shared" si="13"/>
        <v>80629.437725290758</v>
      </c>
      <c r="L30" s="23">
        <f t="shared" si="14"/>
        <v>455.56805426706615</v>
      </c>
      <c r="M30" s="23">
        <f t="shared" si="0"/>
        <v>0</v>
      </c>
      <c r="N30" s="23">
        <f t="shared" si="1"/>
        <v>105.96049292910482</v>
      </c>
      <c r="O30" s="23">
        <f t="shared" si="2"/>
        <v>349.60756133796133</v>
      </c>
      <c r="P30" s="23">
        <f t="shared" si="3"/>
        <v>247.24115016791126</v>
      </c>
      <c r="Q30" s="23">
        <f t="shared" si="16"/>
        <v>89232</v>
      </c>
      <c r="R30" s="25">
        <f t="shared" si="17"/>
        <v>2209.35</v>
      </c>
    </row>
    <row r="31" spans="2:18" x14ac:dyDescent="0.25">
      <c r="B31" s="22">
        <f t="shared" si="5"/>
        <v>20</v>
      </c>
      <c r="C31" s="23">
        <f t="shared" si="6"/>
        <v>80629.437725290758</v>
      </c>
      <c r="D31" s="23">
        <f t="shared" si="7"/>
        <v>352.7537900481471</v>
      </c>
      <c r="E31" s="23">
        <f t="shared" si="8"/>
        <v>102.81426421891905</v>
      </c>
      <c r="F31" s="24">
        <f t="shared" si="9"/>
        <v>0</v>
      </c>
      <c r="G31" s="23">
        <f t="shared" si="10"/>
        <v>0</v>
      </c>
      <c r="H31" s="24"/>
      <c r="I31" s="23">
        <f t="shared" si="11"/>
        <v>0</v>
      </c>
      <c r="J31" s="23">
        <f t="shared" si="12"/>
        <v>102.81426421891905</v>
      </c>
      <c r="K31" s="23">
        <f t="shared" si="13"/>
        <v>80526.623461071838</v>
      </c>
      <c r="L31" s="23">
        <f t="shared" si="14"/>
        <v>455.56805426706615</v>
      </c>
      <c r="M31" s="23">
        <f t="shared" si="0"/>
        <v>0</v>
      </c>
      <c r="N31" s="23">
        <f t="shared" si="1"/>
        <v>105.82613701444413</v>
      </c>
      <c r="O31" s="23">
        <f t="shared" si="2"/>
        <v>349.74191725262199</v>
      </c>
      <c r="P31" s="23">
        <f t="shared" si="3"/>
        <v>246.92765303370294</v>
      </c>
      <c r="Q31" s="23">
        <f t="shared" si="16"/>
        <v>89232</v>
      </c>
      <c r="R31" s="25">
        <f t="shared" si="17"/>
        <v>2209.35</v>
      </c>
    </row>
    <row r="32" spans="2:18" x14ac:dyDescent="0.25">
      <c r="B32" s="22">
        <f t="shared" si="5"/>
        <v>21</v>
      </c>
      <c r="C32" s="23">
        <f t="shared" si="6"/>
        <v>80526.623461071838</v>
      </c>
      <c r="D32" s="23">
        <f t="shared" si="7"/>
        <v>352.3039776421893</v>
      </c>
      <c r="E32" s="23">
        <f t="shared" si="8"/>
        <v>103.26407662487682</v>
      </c>
      <c r="F32" s="24">
        <f t="shared" si="9"/>
        <v>0</v>
      </c>
      <c r="G32" s="23">
        <f t="shared" si="10"/>
        <v>0</v>
      </c>
      <c r="H32" s="24"/>
      <c r="I32" s="23">
        <f t="shared" si="11"/>
        <v>0</v>
      </c>
      <c r="J32" s="23">
        <f t="shared" si="12"/>
        <v>103.26407662487682</v>
      </c>
      <c r="K32" s="23">
        <f t="shared" si="13"/>
        <v>80423.359384446958</v>
      </c>
      <c r="L32" s="23">
        <f t="shared" si="14"/>
        <v>455.56805426706615</v>
      </c>
      <c r="M32" s="23">
        <f t="shared" si="0"/>
        <v>0</v>
      </c>
      <c r="N32" s="23">
        <f t="shared" si="1"/>
        <v>105.69119329265679</v>
      </c>
      <c r="O32" s="23">
        <f t="shared" si="2"/>
        <v>349.87686097440934</v>
      </c>
      <c r="P32" s="23">
        <f t="shared" si="3"/>
        <v>246.61278434953252</v>
      </c>
      <c r="Q32" s="23">
        <f t="shared" si="16"/>
        <v>89232</v>
      </c>
      <c r="R32" s="25">
        <f t="shared" si="17"/>
        <v>2209.35</v>
      </c>
    </row>
    <row r="33" spans="2:18" x14ac:dyDescent="0.25">
      <c r="B33" s="22">
        <f t="shared" si="5"/>
        <v>22</v>
      </c>
      <c r="C33" s="23">
        <f t="shared" si="6"/>
        <v>80423.359384446958</v>
      </c>
      <c r="D33" s="23">
        <f t="shared" si="7"/>
        <v>351.85219730695547</v>
      </c>
      <c r="E33" s="23">
        <f t="shared" si="8"/>
        <v>103.71585696011066</v>
      </c>
      <c r="F33" s="24">
        <f t="shared" si="9"/>
        <v>0</v>
      </c>
      <c r="G33" s="23">
        <f t="shared" si="10"/>
        <v>0</v>
      </c>
      <c r="H33" s="24"/>
      <c r="I33" s="23">
        <f t="shared" si="11"/>
        <v>0</v>
      </c>
      <c r="J33" s="23">
        <f t="shared" si="12"/>
        <v>103.71585696011066</v>
      </c>
      <c r="K33" s="23">
        <f t="shared" si="13"/>
        <v>80319.643527486842</v>
      </c>
      <c r="L33" s="23">
        <f t="shared" si="14"/>
        <v>455.56805426706615</v>
      </c>
      <c r="M33" s="23">
        <f t="shared" si="0"/>
        <v>0</v>
      </c>
      <c r="N33" s="23">
        <f t="shared" si="1"/>
        <v>105.55565919208664</v>
      </c>
      <c r="O33" s="23">
        <f t="shared" si="2"/>
        <v>350.01239507497951</v>
      </c>
      <c r="P33" s="23">
        <f t="shared" si="3"/>
        <v>246.29653811486884</v>
      </c>
      <c r="Q33" s="23">
        <f t="shared" si="16"/>
        <v>89232</v>
      </c>
      <c r="R33" s="25">
        <f t="shared" si="17"/>
        <v>2209.35</v>
      </c>
    </row>
    <row r="34" spans="2:18" x14ac:dyDescent="0.25">
      <c r="B34" s="22">
        <f t="shared" si="5"/>
        <v>23</v>
      </c>
      <c r="C34" s="23">
        <f t="shared" si="6"/>
        <v>80319.643527486842</v>
      </c>
      <c r="D34" s="23">
        <f t="shared" si="7"/>
        <v>351.39844043275497</v>
      </c>
      <c r="E34" s="23">
        <f t="shared" si="8"/>
        <v>104.16961383431115</v>
      </c>
      <c r="F34" s="24">
        <f t="shared" si="9"/>
        <v>0</v>
      </c>
      <c r="G34" s="23">
        <f t="shared" si="10"/>
        <v>0</v>
      </c>
      <c r="H34" s="24"/>
      <c r="I34" s="23">
        <f t="shared" si="11"/>
        <v>0</v>
      </c>
      <c r="J34" s="23">
        <f t="shared" si="12"/>
        <v>104.16961383431115</v>
      </c>
      <c r="K34" s="23">
        <f t="shared" si="13"/>
        <v>80215.473913652531</v>
      </c>
      <c r="L34" s="23">
        <f t="shared" si="14"/>
        <v>455.56805426706615</v>
      </c>
      <c r="M34" s="23">
        <f t="shared" si="0"/>
        <v>0</v>
      </c>
      <c r="N34" s="23">
        <f t="shared" si="1"/>
        <v>105.41953212982649</v>
      </c>
      <c r="O34" s="23">
        <f t="shared" si="2"/>
        <v>350.14852213723964</v>
      </c>
      <c r="P34" s="23">
        <f t="shared" si="3"/>
        <v>245.97890830292849</v>
      </c>
      <c r="Q34" s="23">
        <f t="shared" si="16"/>
        <v>89232</v>
      </c>
      <c r="R34" s="25">
        <f t="shared" si="17"/>
        <v>2209.35</v>
      </c>
    </row>
    <row r="35" spans="2:18" x14ac:dyDescent="0.25">
      <c r="B35" s="22">
        <f t="shared" si="5"/>
        <v>24</v>
      </c>
      <c r="C35" s="23">
        <f t="shared" si="6"/>
        <v>80215.473913652531</v>
      </c>
      <c r="D35" s="23">
        <f t="shared" si="7"/>
        <v>350.94269837222993</v>
      </c>
      <c r="E35" s="23">
        <f t="shared" si="8"/>
        <v>104.62535589483626</v>
      </c>
      <c r="F35" s="24">
        <f t="shared" si="9"/>
        <v>0</v>
      </c>
      <c r="G35" s="23">
        <f t="shared" si="10"/>
        <v>0</v>
      </c>
      <c r="H35" s="24"/>
      <c r="I35" s="23">
        <f t="shared" si="11"/>
        <v>0</v>
      </c>
      <c r="J35" s="23">
        <f t="shared" si="12"/>
        <v>104.62535589483626</v>
      </c>
      <c r="K35" s="23">
        <f t="shared" si="13"/>
        <v>80110.848557757694</v>
      </c>
      <c r="L35" s="23">
        <f t="shared" si="14"/>
        <v>455.5680542670662</v>
      </c>
      <c r="M35" s="23">
        <f t="shared" si="0"/>
        <v>0</v>
      </c>
      <c r="N35" s="23">
        <f t="shared" si="1"/>
        <v>105.28280951166897</v>
      </c>
      <c r="O35" s="23">
        <f t="shared" si="2"/>
        <v>350.28524475539723</v>
      </c>
      <c r="P35" s="23">
        <f t="shared" si="3"/>
        <v>245.65988886056095</v>
      </c>
      <c r="Q35" s="23">
        <f t="shared" si="16"/>
        <v>89232</v>
      </c>
      <c r="R35" s="25">
        <f t="shared" si="17"/>
        <v>2209.35</v>
      </c>
    </row>
    <row r="36" spans="2:18" x14ac:dyDescent="0.25">
      <c r="B36" s="22">
        <f t="shared" si="5"/>
        <v>25</v>
      </c>
      <c r="C36" s="23">
        <f t="shared" si="6"/>
        <v>80110.848557757694</v>
      </c>
      <c r="D36" s="23">
        <f t="shared" si="7"/>
        <v>350.48496244018992</v>
      </c>
      <c r="E36" s="23">
        <f t="shared" si="8"/>
        <v>105.08309182687617</v>
      </c>
      <c r="F36" s="24">
        <f t="shared" si="9"/>
        <v>0</v>
      </c>
      <c r="G36" s="23">
        <f t="shared" si="10"/>
        <v>0</v>
      </c>
      <c r="H36" s="24"/>
      <c r="I36" s="23">
        <f t="shared" si="11"/>
        <v>0</v>
      </c>
      <c r="J36" s="23">
        <f t="shared" si="12"/>
        <v>105.08309182687617</v>
      </c>
      <c r="K36" s="23">
        <f t="shared" si="13"/>
        <v>80005.765465930817</v>
      </c>
      <c r="L36" s="23">
        <f t="shared" si="14"/>
        <v>455.56805426706609</v>
      </c>
      <c r="M36" s="23">
        <f t="shared" si="0"/>
        <v>0</v>
      </c>
      <c r="N36" s="23">
        <f t="shared" si="1"/>
        <v>105.14548873205698</v>
      </c>
      <c r="O36" s="23">
        <f t="shared" si="2"/>
        <v>350.42256553500908</v>
      </c>
      <c r="P36" s="23">
        <f t="shared" si="3"/>
        <v>245.33947370813291</v>
      </c>
      <c r="Q36" s="23">
        <f t="shared" ref="Q36:Q47" si="18">$Q$35 + $Q$35*$L$8</f>
        <v>92801.279999999999</v>
      </c>
      <c r="R36" s="25">
        <f>$R$35 + ($R$35 * $S$5)</f>
        <v>2275.6304999999998</v>
      </c>
    </row>
    <row r="37" spans="2:18" x14ac:dyDescent="0.25">
      <c r="B37" s="22">
        <f t="shared" si="5"/>
        <v>26</v>
      </c>
      <c r="C37" s="23">
        <f t="shared" si="6"/>
        <v>80005.765465930817</v>
      </c>
      <c r="D37" s="23">
        <f t="shared" si="7"/>
        <v>350.02522391344741</v>
      </c>
      <c r="E37" s="23">
        <f t="shared" si="8"/>
        <v>105.54283035361874</v>
      </c>
      <c r="F37" s="24">
        <f t="shared" si="9"/>
        <v>0</v>
      </c>
      <c r="G37" s="23">
        <f t="shared" si="10"/>
        <v>0</v>
      </c>
      <c r="H37" s="24"/>
      <c r="I37" s="23">
        <f t="shared" si="11"/>
        <v>0</v>
      </c>
      <c r="J37" s="23">
        <f t="shared" si="12"/>
        <v>105.54283035361874</v>
      </c>
      <c r="K37" s="23">
        <f t="shared" si="13"/>
        <v>79900.2226355772</v>
      </c>
      <c r="L37" s="23">
        <f t="shared" si="14"/>
        <v>455.56805426706615</v>
      </c>
      <c r="M37" s="23">
        <f t="shared" si="0"/>
        <v>0</v>
      </c>
      <c r="N37" s="23">
        <f t="shared" si="1"/>
        <v>105.00756717403422</v>
      </c>
      <c r="O37" s="23">
        <f t="shared" si="2"/>
        <v>350.56048709303195</v>
      </c>
      <c r="P37" s="23">
        <f t="shared" si="3"/>
        <v>245.01765673941321</v>
      </c>
      <c r="Q37" s="23">
        <f t="shared" si="18"/>
        <v>92801.279999999999</v>
      </c>
      <c r="R37" s="25">
        <f t="shared" ref="R37:R47" si="19">$R$35 + ($R$35 * $S$5)</f>
        <v>2275.6304999999998</v>
      </c>
    </row>
    <row r="38" spans="2:18" x14ac:dyDescent="0.25">
      <c r="B38" s="22">
        <f t="shared" si="5"/>
        <v>27</v>
      </c>
      <c r="C38" s="23">
        <f t="shared" si="6"/>
        <v>79900.2226355772</v>
      </c>
      <c r="D38" s="23">
        <f t="shared" si="7"/>
        <v>349.5634740306503</v>
      </c>
      <c r="E38" s="23">
        <f t="shared" si="8"/>
        <v>106.00458023641585</v>
      </c>
      <c r="F38" s="24">
        <f t="shared" si="9"/>
        <v>0</v>
      </c>
      <c r="G38" s="23">
        <f t="shared" si="10"/>
        <v>0</v>
      </c>
      <c r="H38" s="24"/>
      <c r="I38" s="23">
        <f t="shared" si="11"/>
        <v>0</v>
      </c>
      <c r="J38" s="23">
        <f t="shared" si="12"/>
        <v>106.00458023641585</v>
      </c>
      <c r="K38" s="23">
        <f t="shared" si="13"/>
        <v>79794.218055340782</v>
      </c>
      <c r="L38" s="23">
        <f t="shared" si="14"/>
        <v>455.56805426706615</v>
      </c>
      <c r="M38" s="23">
        <f t="shared" si="0"/>
        <v>0</v>
      </c>
      <c r="N38" s="23">
        <f t="shared" si="1"/>
        <v>104.86904220919509</v>
      </c>
      <c r="O38" s="23">
        <f t="shared" si="2"/>
        <v>350.69901205787107</v>
      </c>
      <c r="P38" s="23">
        <f t="shared" si="3"/>
        <v>244.69443182145523</v>
      </c>
      <c r="Q38" s="23">
        <f t="shared" si="18"/>
        <v>92801.279999999999</v>
      </c>
      <c r="R38" s="25">
        <f t="shared" si="19"/>
        <v>2275.6304999999998</v>
      </c>
    </row>
    <row r="39" spans="2:18" x14ac:dyDescent="0.25">
      <c r="B39" s="22">
        <f t="shared" si="5"/>
        <v>28</v>
      </c>
      <c r="C39" s="23">
        <f t="shared" si="6"/>
        <v>79794.218055340782</v>
      </c>
      <c r="D39" s="23">
        <f t="shared" si="7"/>
        <v>349.09970399211596</v>
      </c>
      <c r="E39" s="23">
        <f t="shared" si="8"/>
        <v>106.46835027495014</v>
      </c>
      <c r="F39" s="24">
        <f t="shared" si="9"/>
        <v>0</v>
      </c>
      <c r="G39" s="23">
        <f t="shared" si="10"/>
        <v>0</v>
      </c>
      <c r="H39" s="24"/>
      <c r="I39" s="23">
        <f t="shared" si="11"/>
        <v>0</v>
      </c>
      <c r="J39" s="23">
        <f t="shared" si="12"/>
        <v>106.46835027495014</v>
      </c>
      <c r="K39" s="23">
        <f t="shared" si="13"/>
        <v>79687.749705065828</v>
      </c>
      <c r="L39" s="23">
        <f t="shared" si="14"/>
        <v>455.56805426706609</v>
      </c>
      <c r="M39" s="23">
        <f t="shared" si="0"/>
        <v>0</v>
      </c>
      <c r="N39" s="23">
        <f t="shared" si="1"/>
        <v>104.72991119763479</v>
      </c>
      <c r="O39" s="23">
        <f t="shared" si="2"/>
        <v>350.83814306943128</v>
      </c>
      <c r="P39" s="23">
        <f t="shared" si="3"/>
        <v>244.36979279448116</v>
      </c>
      <c r="Q39" s="23">
        <f t="shared" si="18"/>
        <v>92801.279999999999</v>
      </c>
      <c r="R39" s="25">
        <f t="shared" si="19"/>
        <v>2275.6304999999998</v>
      </c>
    </row>
    <row r="40" spans="2:18" x14ac:dyDescent="0.25">
      <c r="B40" s="22">
        <f t="shared" si="5"/>
        <v>29</v>
      </c>
      <c r="C40" s="23">
        <f t="shared" si="6"/>
        <v>79687.749705065828</v>
      </c>
      <c r="D40" s="23">
        <f t="shared" si="7"/>
        <v>348.63390495966308</v>
      </c>
      <c r="E40" s="23">
        <f t="shared" si="8"/>
        <v>106.93414930740303</v>
      </c>
      <c r="F40" s="24">
        <f t="shared" si="9"/>
        <v>0</v>
      </c>
      <c r="G40" s="23">
        <f t="shared" si="10"/>
        <v>0</v>
      </c>
      <c r="H40" s="24"/>
      <c r="I40" s="23">
        <f t="shared" si="11"/>
        <v>0</v>
      </c>
      <c r="J40" s="23">
        <f t="shared" si="12"/>
        <v>106.93414930740303</v>
      </c>
      <c r="K40" s="23">
        <f t="shared" si="13"/>
        <v>79580.815555758425</v>
      </c>
      <c r="L40" s="23">
        <f t="shared" si="14"/>
        <v>455.56805426706615</v>
      </c>
      <c r="M40" s="23">
        <f t="shared" si="0"/>
        <v>0</v>
      </c>
      <c r="N40" s="23">
        <f t="shared" si="1"/>
        <v>104.59017148789893</v>
      </c>
      <c r="O40" s="23">
        <f t="shared" si="2"/>
        <v>350.9778827791672</v>
      </c>
      <c r="P40" s="23">
        <f t="shared" si="3"/>
        <v>244.04373347176417</v>
      </c>
      <c r="Q40" s="23">
        <f t="shared" si="18"/>
        <v>92801.279999999999</v>
      </c>
      <c r="R40" s="25">
        <f t="shared" si="19"/>
        <v>2275.6304999999998</v>
      </c>
    </row>
    <row r="41" spans="2:18" x14ac:dyDescent="0.25">
      <c r="B41" s="22">
        <f t="shared" si="5"/>
        <v>30</v>
      </c>
      <c r="C41" s="23">
        <f t="shared" si="6"/>
        <v>79580.815555758425</v>
      </c>
      <c r="D41" s="23">
        <f t="shared" si="7"/>
        <v>348.16606805644318</v>
      </c>
      <c r="E41" s="23">
        <f t="shared" si="8"/>
        <v>107.40198621062295</v>
      </c>
      <c r="F41" s="24">
        <f t="shared" si="9"/>
        <v>0</v>
      </c>
      <c r="G41" s="23">
        <f t="shared" si="10"/>
        <v>0</v>
      </c>
      <c r="H41" s="24"/>
      <c r="I41" s="23">
        <f t="shared" si="11"/>
        <v>0</v>
      </c>
      <c r="J41" s="23">
        <f t="shared" si="12"/>
        <v>107.40198621062295</v>
      </c>
      <c r="K41" s="23">
        <f t="shared" si="13"/>
        <v>79473.413569547803</v>
      </c>
      <c r="L41" s="23">
        <f t="shared" si="14"/>
        <v>455.56805426706615</v>
      </c>
      <c r="M41" s="23">
        <f t="shared" si="0"/>
        <v>0</v>
      </c>
      <c r="N41" s="23">
        <f t="shared" si="1"/>
        <v>104.44982041693295</v>
      </c>
      <c r="O41" s="23">
        <f t="shared" si="2"/>
        <v>351.11823385013321</v>
      </c>
      <c r="P41" s="23">
        <f t="shared" si="3"/>
        <v>243.71624763951024</v>
      </c>
      <c r="Q41" s="23">
        <f t="shared" si="18"/>
        <v>92801.279999999999</v>
      </c>
      <c r="R41" s="25">
        <f t="shared" si="19"/>
        <v>2275.6304999999998</v>
      </c>
    </row>
    <row r="42" spans="2:18" x14ac:dyDescent="0.25">
      <c r="B42" s="22">
        <f t="shared" si="5"/>
        <v>31</v>
      </c>
      <c r="C42" s="23">
        <f t="shared" si="6"/>
        <v>79473.413569547803</v>
      </c>
      <c r="D42" s="23">
        <f t="shared" si="7"/>
        <v>347.69618436677166</v>
      </c>
      <c r="E42" s="23">
        <f t="shared" si="8"/>
        <v>107.87186990029443</v>
      </c>
      <c r="F42" s="24">
        <f t="shared" si="9"/>
        <v>0</v>
      </c>
      <c r="G42" s="23">
        <f t="shared" si="10"/>
        <v>0</v>
      </c>
      <c r="H42" s="24"/>
      <c r="I42" s="23">
        <f t="shared" si="11"/>
        <v>0</v>
      </c>
      <c r="J42" s="23">
        <f t="shared" si="12"/>
        <v>107.87186990029443</v>
      </c>
      <c r="K42" s="23">
        <f t="shared" si="13"/>
        <v>79365.541699647511</v>
      </c>
      <c r="L42" s="23">
        <f t="shared" si="14"/>
        <v>455.56805426706609</v>
      </c>
      <c r="M42" s="23">
        <f t="shared" si="0"/>
        <v>0</v>
      </c>
      <c r="N42" s="23">
        <f t="shared" si="1"/>
        <v>104.30885531003149</v>
      </c>
      <c r="O42" s="23">
        <f t="shared" si="2"/>
        <v>351.25919895703458</v>
      </c>
      <c r="P42" s="23">
        <f t="shared" si="3"/>
        <v>243.38732905674016</v>
      </c>
      <c r="Q42" s="23">
        <f t="shared" si="18"/>
        <v>92801.279999999999</v>
      </c>
      <c r="R42" s="25">
        <f t="shared" si="19"/>
        <v>2275.6304999999998</v>
      </c>
    </row>
    <row r="43" spans="2:18" x14ac:dyDescent="0.25">
      <c r="B43" s="22">
        <f t="shared" si="5"/>
        <v>32</v>
      </c>
      <c r="C43" s="23">
        <f t="shared" si="6"/>
        <v>79365.541699647511</v>
      </c>
      <c r="D43" s="23">
        <f t="shared" si="7"/>
        <v>347.22424493595793</v>
      </c>
      <c r="E43" s="23">
        <f t="shared" si="8"/>
        <v>108.34380933110819</v>
      </c>
      <c r="F43" s="24">
        <f t="shared" si="9"/>
        <v>0</v>
      </c>
      <c r="G43" s="23">
        <f t="shared" si="10"/>
        <v>0</v>
      </c>
      <c r="H43" s="24"/>
      <c r="I43" s="23">
        <f t="shared" si="11"/>
        <v>0</v>
      </c>
      <c r="J43" s="23">
        <f t="shared" si="12"/>
        <v>108.34380933110819</v>
      </c>
      <c r="K43" s="23">
        <f t="shared" si="13"/>
        <v>79257.197890316398</v>
      </c>
      <c r="L43" s="23">
        <f t="shared" si="14"/>
        <v>455.56805426706615</v>
      </c>
      <c r="M43" s="23">
        <f t="shared" si="0"/>
        <v>0</v>
      </c>
      <c r="N43" s="23">
        <f t="shared" si="1"/>
        <v>104.16727348078737</v>
      </c>
      <c r="O43" s="23">
        <f t="shared" si="2"/>
        <v>351.4007807862788</v>
      </c>
      <c r="P43" s="23">
        <f t="shared" si="3"/>
        <v>243.05697145517061</v>
      </c>
      <c r="Q43" s="23">
        <f t="shared" si="18"/>
        <v>92801.279999999999</v>
      </c>
      <c r="R43" s="25">
        <f t="shared" si="19"/>
        <v>2275.6304999999998</v>
      </c>
    </row>
    <row r="44" spans="2:18" x14ac:dyDescent="0.25">
      <c r="B44" s="22">
        <f t="shared" si="5"/>
        <v>33</v>
      </c>
      <c r="C44" s="23">
        <f t="shared" si="6"/>
        <v>79257.197890316398</v>
      </c>
      <c r="D44" s="23">
        <f t="shared" si="7"/>
        <v>346.75024077013433</v>
      </c>
      <c r="E44" s="23">
        <f t="shared" si="8"/>
        <v>108.81781349693182</v>
      </c>
      <c r="F44" s="24">
        <f t="shared" si="9"/>
        <v>0</v>
      </c>
      <c r="G44" s="23">
        <f t="shared" si="10"/>
        <v>0</v>
      </c>
      <c r="H44" s="24"/>
      <c r="I44" s="23">
        <f t="shared" si="11"/>
        <v>0</v>
      </c>
      <c r="J44" s="23">
        <f t="shared" si="12"/>
        <v>108.81781349693182</v>
      </c>
      <c r="K44" s="23">
        <f t="shared" si="13"/>
        <v>79148.380076819463</v>
      </c>
      <c r="L44" s="23">
        <f t="shared" si="14"/>
        <v>455.56805426706615</v>
      </c>
      <c r="M44" s="23">
        <f t="shared" si="0"/>
        <v>0</v>
      </c>
      <c r="N44" s="23">
        <f t="shared" si="1"/>
        <v>104.0250722310403</v>
      </c>
      <c r="O44" s="23">
        <f t="shared" si="2"/>
        <v>351.54298203602582</v>
      </c>
      <c r="P44" s="23">
        <f t="shared" si="3"/>
        <v>242.725168539094</v>
      </c>
      <c r="Q44" s="23">
        <f t="shared" si="18"/>
        <v>92801.279999999999</v>
      </c>
      <c r="R44" s="25">
        <f t="shared" si="19"/>
        <v>2275.6304999999998</v>
      </c>
    </row>
    <row r="45" spans="2:18" x14ac:dyDescent="0.25">
      <c r="B45" s="22">
        <f t="shared" si="5"/>
        <v>34</v>
      </c>
      <c r="C45" s="23">
        <f t="shared" si="6"/>
        <v>79148.380076819463</v>
      </c>
      <c r="D45" s="23">
        <f t="shared" si="7"/>
        <v>346.27416283608522</v>
      </c>
      <c r="E45" s="23">
        <f t="shared" si="8"/>
        <v>109.29389143098088</v>
      </c>
      <c r="F45" s="24">
        <f t="shared" si="9"/>
        <v>0</v>
      </c>
      <c r="G45" s="23">
        <f t="shared" si="10"/>
        <v>0</v>
      </c>
      <c r="H45" s="24"/>
      <c r="I45" s="23">
        <f t="shared" si="11"/>
        <v>0</v>
      </c>
      <c r="J45" s="23">
        <f t="shared" si="12"/>
        <v>109.29389143098088</v>
      </c>
      <c r="K45" s="23">
        <f t="shared" si="13"/>
        <v>79039.086185388485</v>
      </c>
      <c r="L45" s="23">
        <f t="shared" si="14"/>
        <v>455.56805426706609</v>
      </c>
      <c r="M45" s="23">
        <f t="shared" si="0"/>
        <v>0</v>
      </c>
      <c r="N45" s="23">
        <f t="shared" si="1"/>
        <v>103.88224885082556</v>
      </c>
      <c r="O45" s="23">
        <f t="shared" si="2"/>
        <v>351.68580541624056</v>
      </c>
      <c r="P45" s="23">
        <f t="shared" si="3"/>
        <v>242.39191398525969</v>
      </c>
      <c r="Q45" s="23">
        <f t="shared" si="18"/>
        <v>92801.279999999999</v>
      </c>
      <c r="R45" s="25">
        <f t="shared" si="19"/>
        <v>2275.6304999999998</v>
      </c>
    </row>
    <row r="46" spans="2:18" x14ac:dyDescent="0.25">
      <c r="B46" s="22">
        <f t="shared" si="5"/>
        <v>35</v>
      </c>
      <c r="C46" s="23">
        <f t="shared" si="6"/>
        <v>79039.086185388485</v>
      </c>
      <c r="D46" s="23">
        <f t="shared" si="7"/>
        <v>345.79600206107472</v>
      </c>
      <c r="E46" s="23">
        <f t="shared" si="8"/>
        <v>109.77205220599141</v>
      </c>
      <c r="F46" s="24">
        <f t="shared" si="9"/>
        <v>0</v>
      </c>
      <c r="G46" s="23">
        <f t="shared" si="10"/>
        <v>0</v>
      </c>
      <c r="H46" s="24"/>
      <c r="I46" s="23">
        <f t="shared" si="11"/>
        <v>0</v>
      </c>
      <c r="J46" s="23">
        <f t="shared" si="12"/>
        <v>109.77205220599141</v>
      </c>
      <c r="K46" s="23">
        <f t="shared" si="13"/>
        <v>78929.314133182488</v>
      </c>
      <c r="L46" s="23">
        <f t="shared" si="14"/>
        <v>455.56805426706615</v>
      </c>
      <c r="M46" s="23">
        <f t="shared" si="0"/>
        <v>0</v>
      </c>
      <c r="N46" s="23">
        <f t="shared" si="1"/>
        <v>103.73880061832241</v>
      </c>
      <c r="O46" s="23">
        <f t="shared" si="2"/>
        <v>351.8292536487437</v>
      </c>
      <c r="P46" s="23">
        <f t="shared" si="3"/>
        <v>242.05720144275227</v>
      </c>
      <c r="Q46" s="23">
        <f t="shared" si="18"/>
        <v>92801.279999999999</v>
      </c>
      <c r="R46" s="25">
        <f t="shared" si="19"/>
        <v>2275.6304999999998</v>
      </c>
    </row>
    <row r="47" spans="2:18" x14ac:dyDescent="0.25">
      <c r="B47" s="22">
        <f t="shared" si="5"/>
        <v>36</v>
      </c>
      <c r="C47" s="23">
        <f t="shared" si="6"/>
        <v>78929.314133182488</v>
      </c>
      <c r="D47" s="23">
        <f t="shared" si="7"/>
        <v>345.31574933267348</v>
      </c>
      <c r="E47" s="23">
        <f t="shared" si="8"/>
        <v>110.25230493439263</v>
      </c>
      <c r="F47" s="24">
        <f t="shared" si="9"/>
        <v>0</v>
      </c>
      <c r="G47" s="23">
        <f t="shared" si="10"/>
        <v>0</v>
      </c>
      <c r="H47" s="24"/>
      <c r="I47" s="23">
        <f t="shared" si="11"/>
        <v>0</v>
      </c>
      <c r="J47" s="23">
        <f t="shared" si="12"/>
        <v>110.25230493439263</v>
      </c>
      <c r="K47" s="23">
        <f t="shared" si="13"/>
        <v>78819.061828248101</v>
      </c>
      <c r="L47" s="23">
        <f t="shared" si="14"/>
        <v>455.56805426706609</v>
      </c>
      <c r="M47" s="23">
        <f t="shared" si="0"/>
        <v>0</v>
      </c>
      <c r="N47" s="23">
        <f t="shared" si="1"/>
        <v>103.59472479980204</v>
      </c>
      <c r="O47" s="23">
        <f t="shared" si="2"/>
        <v>351.97332946726408</v>
      </c>
      <c r="P47" s="23">
        <f t="shared" si="3"/>
        <v>241.72102453287147</v>
      </c>
      <c r="Q47" s="23">
        <f t="shared" si="18"/>
        <v>92801.279999999999</v>
      </c>
      <c r="R47" s="25">
        <f t="shared" si="19"/>
        <v>2275.6304999999998</v>
      </c>
    </row>
    <row r="48" spans="2:18" x14ac:dyDescent="0.25">
      <c r="B48" s="22">
        <f t="shared" si="5"/>
        <v>37</v>
      </c>
      <c r="C48" s="23">
        <f t="shared" si="6"/>
        <v>78819.061828248101</v>
      </c>
      <c r="D48" s="23">
        <f t="shared" si="7"/>
        <v>344.83339549858556</v>
      </c>
      <c r="E48" s="23">
        <f t="shared" si="8"/>
        <v>110.73465876848061</v>
      </c>
      <c r="F48" s="24">
        <f t="shared" si="9"/>
        <v>0</v>
      </c>
      <c r="G48" s="23">
        <f t="shared" si="10"/>
        <v>0</v>
      </c>
      <c r="H48" s="24"/>
      <c r="I48" s="23">
        <f t="shared" si="11"/>
        <v>0</v>
      </c>
      <c r="J48" s="23">
        <f t="shared" si="12"/>
        <v>110.73465876848061</v>
      </c>
      <c r="K48" s="23">
        <f t="shared" si="13"/>
        <v>78708.327169479613</v>
      </c>
      <c r="L48" s="23">
        <f t="shared" si="14"/>
        <v>455.56805426706615</v>
      </c>
      <c r="M48" s="23">
        <f t="shared" si="0"/>
        <v>0</v>
      </c>
      <c r="N48" s="23">
        <f t="shared" si="1"/>
        <v>103.45001864957567</v>
      </c>
      <c r="O48" s="23">
        <f t="shared" si="2"/>
        <v>352.11803561749048</v>
      </c>
      <c r="P48" s="23">
        <f t="shared" si="3"/>
        <v>241.38337684900986</v>
      </c>
      <c r="Q48" s="23">
        <f t="shared" ref="Q48:Q59" si="20">$Q$47+ $Q$47*$L$8</f>
        <v>96513.331200000001</v>
      </c>
      <c r="R48" s="25">
        <f>$R$47 + ($R$47 * $S$5)</f>
        <v>2343.8994149999999</v>
      </c>
    </row>
    <row r="49" spans="2:18" x14ac:dyDescent="0.25">
      <c r="B49" s="22">
        <f t="shared" si="5"/>
        <v>38</v>
      </c>
      <c r="C49" s="23">
        <f t="shared" si="6"/>
        <v>78708.327169479613</v>
      </c>
      <c r="D49" s="23">
        <f t="shared" si="7"/>
        <v>344.34893136647344</v>
      </c>
      <c r="E49" s="23">
        <f t="shared" si="8"/>
        <v>111.21912290059269</v>
      </c>
      <c r="F49" s="24">
        <f t="shared" si="9"/>
        <v>0</v>
      </c>
      <c r="G49" s="23">
        <f t="shared" si="10"/>
        <v>0</v>
      </c>
      <c r="H49" s="24"/>
      <c r="I49" s="23">
        <f t="shared" si="11"/>
        <v>0</v>
      </c>
      <c r="J49" s="23">
        <f t="shared" si="12"/>
        <v>111.21912290059269</v>
      </c>
      <c r="K49" s="23">
        <f t="shared" si="13"/>
        <v>78597.108046579015</v>
      </c>
      <c r="L49" s="23">
        <f t="shared" si="14"/>
        <v>455.56805426706615</v>
      </c>
      <c r="M49" s="23">
        <f t="shared" si="0"/>
        <v>0</v>
      </c>
      <c r="N49" s="23">
        <f t="shared" si="1"/>
        <v>103.30467940994203</v>
      </c>
      <c r="O49" s="23">
        <f t="shared" si="2"/>
        <v>352.26337485712412</v>
      </c>
      <c r="P49" s="23">
        <f t="shared" si="3"/>
        <v>241.04425195653141</v>
      </c>
      <c r="Q49" s="23">
        <f t="shared" si="20"/>
        <v>96513.331200000001</v>
      </c>
      <c r="R49" s="25">
        <f t="shared" ref="R49:R59" si="21">$R$47 + ($R$47 * $S$5)</f>
        <v>2343.8994149999999</v>
      </c>
    </row>
    <row r="50" spans="2:18" x14ac:dyDescent="0.25">
      <c r="B50" s="22">
        <f t="shared" si="5"/>
        <v>39</v>
      </c>
      <c r="C50" s="23">
        <f t="shared" si="6"/>
        <v>78597.108046579015</v>
      </c>
      <c r="D50" s="23">
        <f t="shared" si="7"/>
        <v>343.86234770378326</v>
      </c>
      <c r="E50" s="23">
        <f t="shared" si="8"/>
        <v>111.70570656328282</v>
      </c>
      <c r="F50" s="24">
        <f t="shared" si="9"/>
        <v>0</v>
      </c>
      <c r="G50" s="23">
        <f t="shared" si="10"/>
        <v>0</v>
      </c>
      <c r="H50" s="24"/>
      <c r="I50" s="23">
        <f t="shared" si="11"/>
        <v>0</v>
      </c>
      <c r="J50" s="23">
        <f t="shared" si="12"/>
        <v>111.70570656328282</v>
      </c>
      <c r="K50" s="23">
        <f t="shared" si="13"/>
        <v>78485.402340015731</v>
      </c>
      <c r="L50" s="23">
        <f t="shared" si="14"/>
        <v>455.56805426706609</v>
      </c>
      <c r="M50" s="23">
        <f t="shared" si="0"/>
        <v>0</v>
      </c>
      <c r="N50" s="23">
        <f t="shared" si="1"/>
        <v>103.15870431113497</v>
      </c>
      <c r="O50" s="23">
        <f t="shared" si="2"/>
        <v>352.40934995593113</v>
      </c>
      <c r="P50" s="23">
        <f t="shared" si="3"/>
        <v>240.7036433926483</v>
      </c>
      <c r="Q50" s="23">
        <f t="shared" si="20"/>
        <v>96513.331200000001</v>
      </c>
      <c r="R50" s="25">
        <f t="shared" si="21"/>
        <v>2343.8994149999999</v>
      </c>
    </row>
    <row r="51" spans="2:18" x14ac:dyDescent="0.25">
      <c r="B51" s="22">
        <f t="shared" si="5"/>
        <v>40</v>
      </c>
      <c r="C51" s="23">
        <f t="shared" si="6"/>
        <v>78485.402340015731</v>
      </c>
      <c r="D51" s="23">
        <f t="shared" si="7"/>
        <v>343.37363523756898</v>
      </c>
      <c r="E51" s="23">
        <f t="shared" si="8"/>
        <v>112.19441902949717</v>
      </c>
      <c r="F51" s="24">
        <f t="shared" si="9"/>
        <v>0</v>
      </c>
      <c r="G51" s="23">
        <f t="shared" si="10"/>
        <v>0</v>
      </c>
      <c r="H51" s="24"/>
      <c r="I51" s="23">
        <f t="shared" si="11"/>
        <v>0</v>
      </c>
      <c r="J51" s="23">
        <f t="shared" si="12"/>
        <v>112.19441902949717</v>
      </c>
      <c r="K51" s="23">
        <f t="shared" si="13"/>
        <v>78373.207920986228</v>
      </c>
      <c r="L51" s="23">
        <f t="shared" si="14"/>
        <v>455.56805426706615</v>
      </c>
      <c r="M51" s="23">
        <f t="shared" si="0"/>
        <v>0</v>
      </c>
      <c r="N51" s="23">
        <f t="shared" si="1"/>
        <v>103.01209057127069</v>
      </c>
      <c r="O51" s="23">
        <f t="shared" si="2"/>
        <v>352.55596369579547</v>
      </c>
      <c r="P51" s="23">
        <f t="shared" si="3"/>
        <v>240.3615446662983</v>
      </c>
      <c r="Q51" s="23">
        <f t="shared" si="20"/>
        <v>96513.331200000001</v>
      </c>
      <c r="R51" s="25">
        <f t="shared" si="21"/>
        <v>2343.8994149999999</v>
      </c>
    </row>
    <row r="52" spans="2:18" x14ac:dyDescent="0.25">
      <c r="B52" s="22">
        <f t="shared" si="5"/>
        <v>41</v>
      </c>
      <c r="C52" s="23">
        <f t="shared" si="6"/>
        <v>78373.207920986228</v>
      </c>
      <c r="D52" s="23">
        <f t="shared" si="7"/>
        <v>342.88278465431489</v>
      </c>
      <c r="E52" s="23">
        <f t="shared" si="8"/>
        <v>112.68526961275123</v>
      </c>
      <c r="F52" s="24">
        <f t="shared" si="9"/>
        <v>0</v>
      </c>
      <c r="G52" s="23">
        <f t="shared" si="10"/>
        <v>0</v>
      </c>
      <c r="H52" s="24"/>
      <c r="I52" s="23">
        <f t="shared" si="11"/>
        <v>0</v>
      </c>
      <c r="J52" s="23">
        <f t="shared" si="12"/>
        <v>112.68526961275123</v>
      </c>
      <c r="K52" s="23">
        <f t="shared" si="13"/>
        <v>78260.522651373481</v>
      </c>
      <c r="L52" s="23">
        <f t="shared" si="14"/>
        <v>455.56805426706615</v>
      </c>
      <c r="M52" s="23">
        <f t="shared" si="0"/>
        <v>0</v>
      </c>
      <c r="N52" s="23">
        <f t="shared" si="1"/>
        <v>102.86483539629447</v>
      </c>
      <c r="O52" s="23">
        <f t="shared" si="2"/>
        <v>352.70321887077171</v>
      </c>
      <c r="P52" s="23">
        <f t="shared" si="3"/>
        <v>240.01794925802048</v>
      </c>
      <c r="Q52" s="23">
        <f t="shared" si="20"/>
        <v>96513.331200000001</v>
      </c>
      <c r="R52" s="25">
        <f t="shared" si="21"/>
        <v>2343.8994149999999</v>
      </c>
    </row>
    <row r="53" spans="2:18" x14ac:dyDescent="0.25">
      <c r="B53" s="22">
        <f t="shared" si="5"/>
        <v>42</v>
      </c>
      <c r="C53" s="23">
        <f t="shared" si="6"/>
        <v>78260.522651373481</v>
      </c>
      <c r="D53" s="23">
        <f t="shared" si="7"/>
        <v>342.38978659975913</v>
      </c>
      <c r="E53" s="23">
        <f t="shared" si="8"/>
        <v>113.178267667307</v>
      </c>
      <c r="F53" s="24">
        <f t="shared" si="9"/>
        <v>0</v>
      </c>
      <c r="G53" s="23">
        <f t="shared" si="10"/>
        <v>0</v>
      </c>
      <c r="H53" s="24"/>
      <c r="I53" s="23">
        <f t="shared" si="11"/>
        <v>0</v>
      </c>
      <c r="J53" s="23">
        <f t="shared" si="12"/>
        <v>113.178267667307</v>
      </c>
      <c r="K53" s="23">
        <f t="shared" si="13"/>
        <v>78147.344383706179</v>
      </c>
      <c r="L53" s="23">
        <f t="shared" si="14"/>
        <v>455.56805426706615</v>
      </c>
      <c r="M53" s="23">
        <f t="shared" si="0"/>
        <v>0</v>
      </c>
      <c r="N53" s="23">
        <f t="shared" si="1"/>
        <v>102.71693597992774</v>
      </c>
      <c r="O53" s="23">
        <f t="shared" si="2"/>
        <v>352.85111828713843</v>
      </c>
      <c r="P53" s="23">
        <f t="shared" si="3"/>
        <v>239.67285061983142</v>
      </c>
      <c r="Q53" s="23">
        <f t="shared" si="20"/>
        <v>96513.331200000001</v>
      </c>
      <c r="R53" s="25">
        <f t="shared" si="21"/>
        <v>2343.8994149999999</v>
      </c>
    </row>
    <row r="54" spans="2:18" x14ac:dyDescent="0.25">
      <c r="B54" s="22">
        <f t="shared" si="5"/>
        <v>43</v>
      </c>
      <c r="C54" s="23">
        <f t="shared" si="6"/>
        <v>78147.344383706179</v>
      </c>
      <c r="D54" s="23">
        <f t="shared" si="7"/>
        <v>341.89463167871463</v>
      </c>
      <c r="E54" s="23">
        <f t="shared" si="8"/>
        <v>113.67342258835147</v>
      </c>
      <c r="F54" s="24">
        <f t="shared" si="9"/>
        <v>0</v>
      </c>
      <c r="G54" s="23">
        <f t="shared" si="10"/>
        <v>0</v>
      </c>
      <c r="H54" s="24"/>
      <c r="I54" s="23">
        <f t="shared" si="11"/>
        <v>0</v>
      </c>
      <c r="J54" s="23">
        <f t="shared" si="12"/>
        <v>113.67342258835147</v>
      </c>
      <c r="K54" s="23">
        <f t="shared" si="13"/>
        <v>78033.670961117823</v>
      </c>
      <c r="L54" s="23">
        <f t="shared" si="14"/>
        <v>455.56805426706609</v>
      </c>
      <c r="M54" s="23">
        <f t="shared" si="0"/>
        <v>0</v>
      </c>
      <c r="N54" s="23">
        <f t="shared" si="1"/>
        <v>102.56838950361438</v>
      </c>
      <c r="O54" s="23">
        <f t="shared" si="2"/>
        <v>352.99966476345173</v>
      </c>
      <c r="P54" s="23">
        <f t="shared" si="3"/>
        <v>239.32624217510028</v>
      </c>
      <c r="Q54" s="23">
        <f t="shared" si="20"/>
        <v>96513.331200000001</v>
      </c>
      <c r="R54" s="25">
        <f t="shared" si="21"/>
        <v>2343.8994149999999</v>
      </c>
    </row>
    <row r="55" spans="2:18" x14ac:dyDescent="0.25">
      <c r="B55" s="22">
        <f t="shared" si="5"/>
        <v>44</v>
      </c>
      <c r="C55" s="23">
        <f t="shared" si="6"/>
        <v>78033.670961117823</v>
      </c>
      <c r="D55" s="23">
        <f t="shared" si="7"/>
        <v>341.39731045489066</v>
      </c>
      <c r="E55" s="23">
        <f t="shared" si="8"/>
        <v>114.17074381217552</v>
      </c>
      <c r="F55" s="24">
        <f t="shared" si="9"/>
        <v>0</v>
      </c>
      <c r="G55" s="23">
        <f t="shared" si="10"/>
        <v>0</v>
      </c>
      <c r="H55" s="24"/>
      <c r="I55" s="23">
        <f t="shared" si="11"/>
        <v>0</v>
      </c>
      <c r="J55" s="23">
        <f t="shared" si="12"/>
        <v>114.17074381217552</v>
      </c>
      <c r="K55" s="23">
        <f t="shared" si="13"/>
        <v>77919.500217305642</v>
      </c>
      <c r="L55" s="23">
        <f t="shared" si="14"/>
        <v>455.56805426706615</v>
      </c>
      <c r="M55" s="23">
        <f t="shared" si="0"/>
        <v>0</v>
      </c>
      <c r="N55" s="23">
        <f t="shared" si="1"/>
        <v>102.4191931364672</v>
      </c>
      <c r="O55" s="23">
        <f t="shared" si="2"/>
        <v>353.14886113059896</v>
      </c>
      <c r="P55" s="23">
        <f t="shared" si="3"/>
        <v>238.97811731842344</v>
      </c>
      <c r="Q55" s="23">
        <f t="shared" si="20"/>
        <v>96513.331200000001</v>
      </c>
      <c r="R55" s="25">
        <f t="shared" si="21"/>
        <v>2343.8994149999999</v>
      </c>
    </row>
    <row r="56" spans="2:18" x14ac:dyDescent="0.25">
      <c r="B56" s="22">
        <f t="shared" si="5"/>
        <v>45</v>
      </c>
      <c r="C56" s="23">
        <f t="shared" si="6"/>
        <v>77919.500217305642</v>
      </c>
      <c r="D56" s="23">
        <f t="shared" si="7"/>
        <v>340.89781345071236</v>
      </c>
      <c r="E56" s="23">
        <f t="shared" si="8"/>
        <v>114.67024081635377</v>
      </c>
      <c r="F56" s="24">
        <f t="shared" si="9"/>
        <v>0</v>
      </c>
      <c r="G56" s="23">
        <f t="shared" si="10"/>
        <v>0</v>
      </c>
      <c r="H56" s="24"/>
      <c r="I56" s="23">
        <f t="shared" si="11"/>
        <v>0</v>
      </c>
      <c r="J56" s="23">
        <f t="shared" si="12"/>
        <v>114.67024081635377</v>
      </c>
      <c r="K56" s="23">
        <f t="shared" si="13"/>
        <v>77804.829976489287</v>
      </c>
      <c r="L56" s="23">
        <f t="shared" si="14"/>
        <v>455.56805426706615</v>
      </c>
      <c r="M56" s="23">
        <f t="shared" si="0"/>
        <v>0</v>
      </c>
      <c r="N56" s="23">
        <f t="shared" si="1"/>
        <v>102.26934403521371</v>
      </c>
      <c r="O56" s="23">
        <f t="shared" si="2"/>
        <v>353.29871023185245</v>
      </c>
      <c r="P56" s="23">
        <f t="shared" si="3"/>
        <v>238.62846941549867</v>
      </c>
      <c r="Q56" s="23">
        <f t="shared" si="20"/>
        <v>96513.331200000001</v>
      </c>
      <c r="R56" s="25">
        <f t="shared" si="21"/>
        <v>2343.8994149999999</v>
      </c>
    </row>
    <row r="57" spans="2:18" x14ac:dyDescent="0.25">
      <c r="B57" s="22">
        <f t="shared" si="5"/>
        <v>46</v>
      </c>
      <c r="C57" s="23">
        <f t="shared" si="6"/>
        <v>77804.829976489287</v>
      </c>
      <c r="D57" s="23">
        <f t="shared" si="7"/>
        <v>340.39613114714081</v>
      </c>
      <c r="E57" s="23">
        <f t="shared" si="8"/>
        <v>115.17192311992531</v>
      </c>
      <c r="F57" s="24">
        <f t="shared" si="9"/>
        <v>0</v>
      </c>
      <c r="G57" s="23">
        <f t="shared" si="10"/>
        <v>0</v>
      </c>
      <c r="H57" s="24"/>
      <c r="I57" s="23">
        <f t="shared" si="11"/>
        <v>0</v>
      </c>
      <c r="J57" s="23">
        <f t="shared" si="12"/>
        <v>115.17192311992531</v>
      </c>
      <c r="K57" s="23">
        <f t="shared" si="13"/>
        <v>77689.658053369363</v>
      </c>
      <c r="L57" s="23">
        <f t="shared" si="14"/>
        <v>455.56805426706615</v>
      </c>
      <c r="M57" s="23">
        <f t="shared" si="0"/>
        <v>0</v>
      </c>
      <c r="N57" s="23">
        <f t="shared" si="1"/>
        <v>102.11883934414224</v>
      </c>
      <c r="O57" s="23">
        <f t="shared" si="2"/>
        <v>353.44921492292389</v>
      </c>
      <c r="P57" s="23">
        <f t="shared" si="3"/>
        <v>238.27729180299858</v>
      </c>
      <c r="Q57" s="23">
        <f t="shared" si="20"/>
        <v>96513.331200000001</v>
      </c>
      <c r="R57" s="25">
        <f t="shared" si="21"/>
        <v>2343.8994149999999</v>
      </c>
    </row>
    <row r="58" spans="2:18" x14ac:dyDescent="0.25">
      <c r="B58" s="22">
        <f t="shared" si="5"/>
        <v>47</v>
      </c>
      <c r="C58" s="23">
        <f t="shared" si="6"/>
        <v>77689.658053369363</v>
      </c>
      <c r="D58" s="23">
        <f t="shared" si="7"/>
        <v>339.89225398349112</v>
      </c>
      <c r="E58" s="23">
        <f t="shared" si="8"/>
        <v>115.675800283575</v>
      </c>
      <c r="F58" s="24">
        <f t="shared" si="9"/>
        <v>0</v>
      </c>
      <c r="G58" s="23">
        <f t="shared" si="10"/>
        <v>0</v>
      </c>
      <c r="H58" s="24"/>
      <c r="I58" s="23">
        <f t="shared" si="11"/>
        <v>0</v>
      </c>
      <c r="J58" s="23">
        <f t="shared" si="12"/>
        <v>115.675800283575</v>
      </c>
      <c r="K58" s="23">
        <f t="shared" si="13"/>
        <v>77573.982253085793</v>
      </c>
      <c r="L58" s="23">
        <f t="shared" si="14"/>
        <v>455.56805426706615</v>
      </c>
      <c r="M58" s="23">
        <f t="shared" si="0"/>
        <v>0</v>
      </c>
      <c r="N58" s="23">
        <f t="shared" si="1"/>
        <v>101.96767619504733</v>
      </c>
      <c r="O58" s="23">
        <f t="shared" si="2"/>
        <v>353.60037807201883</v>
      </c>
      <c r="P58" s="23">
        <f t="shared" si="3"/>
        <v>237.92457778844383</v>
      </c>
      <c r="Q58" s="23">
        <f t="shared" si="20"/>
        <v>96513.331200000001</v>
      </c>
      <c r="R58" s="25">
        <f t="shared" si="21"/>
        <v>2343.8994149999999</v>
      </c>
    </row>
    <row r="59" spans="2:18" x14ac:dyDescent="0.25">
      <c r="B59" s="22">
        <f t="shared" si="5"/>
        <v>48</v>
      </c>
      <c r="C59" s="23">
        <f t="shared" si="6"/>
        <v>77573.982253085793</v>
      </c>
      <c r="D59" s="23">
        <f t="shared" si="7"/>
        <v>339.38617235725047</v>
      </c>
      <c r="E59" s="23">
        <f t="shared" si="8"/>
        <v>116.18188190981564</v>
      </c>
      <c r="F59" s="24">
        <f t="shared" si="9"/>
        <v>0</v>
      </c>
      <c r="G59" s="23">
        <f t="shared" si="10"/>
        <v>0</v>
      </c>
      <c r="H59" s="24"/>
      <c r="I59" s="23">
        <f t="shared" si="11"/>
        <v>0</v>
      </c>
      <c r="J59" s="23">
        <f t="shared" si="12"/>
        <v>116.18188190981564</v>
      </c>
      <c r="K59" s="23">
        <f t="shared" si="13"/>
        <v>77457.800371175981</v>
      </c>
      <c r="L59" s="23">
        <f t="shared" si="14"/>
        <v>455.56805426706615</v>
      </c>
      <c r="M59" s="23">
        <f t="shared" si="0"/>
        <v>0</v>
      </c>
      <c r="N59" s="23">
        <f t="shared" si="1"/>
        <v>101.81585170717514</v>
      </c>
      <c r="O59" s="23">
        <f t="shared" si="2"/>
        <v>353.75220255989097</v>
      </c>
      <c r="P59" s="23">
        <f t="shared" si="3"/>
        <v>237.57032065007533</v>
      </c>
      <c r="Q59" s="23">
        <f t="shared" si="20"/>
        <v>96513.331200000001</v>
      </c>
      <c r="R59" s="25">
        <f t="shared" si="21"/>
        <v>2343.8994149999999</v>
      </c>
    </row>
    <row r="60" spans="2:18" x14ac:dyDescent="0.25">
      <c r="B60" s="22">
        <f t="shared" si="5"/>
        <v>49</v>
      </c>
      <c r="C60" s="23">
        <f t="shared" si="6"/>
        <v>77457.800371175981</v>
      </c>
      <c r="D60" s="23">
        <f t="shared" si="7"/>
        <v>338.87787662389508</v>
      </c>
      <c r="E60" s="23">
        <f t="shared" si="8"/>
        <v>116.69017764317107</v>
      </c>
      <c r="F60" s="24">
        <f t="shared" si="9"/>
        <v>0</v>
      </c>
      <c r="G60" s="23">
        <f t="shared" si="10"/>
        <v>0</v>
      </c>
      <c r="H60" s="24"/>
      <c r="I60" s="23">
        <f t="shared" si="11"/>
        <v>0</v>
      </c>
      <c r="J60" s="23">
        <f t="shared" si="12"/>
        <v>116.69017764317107</v>
      </c>
      <c r="K60" s="23">
        <f t="shared" si="13"/>
        <v>77341.110193532804</v>
      </c>
      <c r="L60" s="23">
        <f t="shared" si="14"/>
        <v>455.56805426706615</v>
      </c>
      <c r="M60" s="23">
        <f t="shared" si="0"/>
        <v>0</v>
      </c>
      <c r="N60" s="23">
        <f t="shared" si="1"/>
        <v>101.66336298716853</v>
      </c>
      <c r="O60" s="23">
        <f t="shared" si="2"/>
        <v>353.90469127989763</v>
      </c>
      <c r="P60" s="23">
        <f t="shared" si="3"/>
        <v>237.21451363672656</v>
      </c>
      <c r="Q60" s="23">
        <f t="shared" ref="Q60:Q71" si="22">$Q$59+ $Q$59*$L$8</f>
        <v>100373.86444800001</v>
      </c>
      <c r="R60" s="25">
        <f>$R$59 + ($R$59 * $S$5)</f>
        <v>2414.2163974499999</v>
      </c>
    </row>
    <row r="61" spans="2:18" x14ac:dyDescent="0.25">
      <c r="B61" s="22">
        <f t="shared" si="5"/>
        <v>50</v>
      </c>
      <c r="C61" s="23">
        <f t="shared" si="6"/>
        <v>77341.110193532804</v>
      </c>
      <c r="D61" s="23">
        <f t="shared" si="7"/>
        <v>338.3673570967062</v>
      </c>
      <c r="E61" s="23">
        <f t="shared" si="8"/>
        <v>117.20069717035994</v>
      </c>
      <c r="F61" s="24">
        <f t="shared" si="9"/>
        <v>0</v>
      </c>
      <c r="G61" s="23">
        <f t="shared" si="10"/>
        <v>0</v>
      </c>
      <c r="H61" s="24"/>
      <c r="I61" s="23">
        <f t="shared" si="11"/>
        <v>0</v>
      </c>
      <c r="J61" s="23">
        <f t="shared" si="12"/>
        <v>117.20069717035994</v>
      </c>
      <c r="K61" s="23">
        <f t="shared" si="13"/>
        <v>77223.909496362437</v>
      </c>
      <c r="L61" s="23">
        <f t="shared" si="14"/>
        <v>455.56805426706615</v>
      </c>
      <c r="M61" s="23">
        <f t="shared" si="0"/>
        <v>0</v>
      </c>
      <c r="N61" s="23">
        <f t="shared" si="1"/>
        <v>101.51020712901186</v>
      </c>
      <c r="O61" s="23">
        <f t="shared" si="2"/>
        <v>354.05784713805429</v>
      </c>
      <c r="P61" s="23">
        <f t="shared" si="3"/>
        <v>236.85714996769434</v>
      </c>
      <c r="Q61" s="23">
        <f t="shared" si="22"/>
        <v>100373.86444800001</v>
      </c>
      <c r="R61" s="25">
        <f t="shared" ref="R61:R71" si="23">$R$59 + ($R$59 * $S$5)</f>
        <v>2414.2163974499999</v>
      </c>
    </row>
    <row r="62" spans="2:18" x14ac:dyDescent="0.25">
      <c r="B62" s="22">
        <f t="shared" si="5"/>
        <v>51</v>
      </c>
      <c r="C62" s="23">
        <f t="shared" si="6"/>
        <v>77223.909496362437</v>
      </c>
      <c r="D62" s="23">
        <f t="shared" si="7"/>
        <v>337.85460404658585</v>
      </c>
      <c r="E62" s="23">
        <f t="shared" si="8"/>
        <v>117.71345022048027</v>
      </c>
      <c r="F62" s="24">
        <f t="shared" si="9"/>
        <v>0</v>
      </c>
      <c r="G62" s="23">
        <f t="shared" si="10"/>
        <v>0</v>
      </c>
      <c r="H62" s="24"/>
      <c r="I62" s="23">
        <f t="shared" si="11"/>
        <v>0</v>
      </c>
      <c r="J62" s="23">
        <f t="shared" si="12"/>
        <v>117.71345022048027</v>
      </c>
      <c r="K62" s="23">
        <f t="shared" si="13"/>
        <v>77106.196046141951</v>
      </c>
      <c r="L62" s="23">
        <f t="shared" si="14"/>
        <v>455.56805426706615</v>
      </c>
      <c r="M62" s="23">
        <f t="shared" si="0"/>
        <v>0</v>
      </c>
      <c r="N62" s="23">
        <f t="shared" si="1"/>
        <v>101.35638121397575</v>
      </c>
      <c r="O62" s="23">
        <f t="shared" si="2"/>
        <v>354.21167305309041</v>
      </c>
      <c r="P62" s="23">
        <f t="shared" si="3"/>
        <v>236.49822283261014</v>
      </c>
      <c r="Q62" s="23">
        <f t="shared" si="22"/>
        <v>100373.86444800001</v>
      </c>
      <c r="R62" s="25">
        <f t="shared" si="23"/>
        <v>2414.2163974499999</v>
      </c>
    </row>
    <row r="63" spans="2:18" x14ac:dyDescent="0.25">
      <c r="B63" s="22">
        <f t="shared" si="5"/>
        <v>52</v>
      </c>
      <c r="C63" s="23">
        <f t="shared" si="6"/>
        <v>77106.196046141951</v>
      </c>
      <c r="D63" s="23">
        <f t="shared" si="7"/>
        <v>337.33960770187127</v>
      </c>
      <c r="E63" s="23">
        <f t="shared" si="8"/>
        <v>118.22844656519486</v>
      </c>
      <c r="F63" s="24">
        <f t="shared" si="9"/>
        <v>0</v>
      </c>
      <c r="G63" s="23">
        <f t="shared" si="10"/>
        <v>0</v>
      </c>
      <c r="H63" s="24"/>
      <c r="I63" s="23">
        <f t="shared" si="11"/>
        <v>0</v>
      </c>
      <c r="J63" s="23">
        <f t="shared" si="12"/>
        <v>118.22844656519486</v>
      </c>
      <c r="K63" s="23">
        <f t="shared" si="13"/>
        <v>76987.967599576761</v>
      </c>
      <c r="L63" s="23">
        <f t="shared" si="14"/>
        <v>455.56805426706615</v>
      </c>
      <c r="M63" s="23">
        <f t="shared" si="0"/>
        <v>0</v>
      </c>
      <c r="N63" s="23">
        <f t="shared" si="1"/>
        <v>101.20188231056137</v>
      </c>
      <c r="O63" s="23">
        <f t="shared" si="2"/>
        <v>354.36617195650479</v>
      </c>
      <c r="P63" s="23">
        <f t="shared" si="3"/>
        <v>236.13772539130991</v>
      </c>
      <c r="Q63" s="23">
        <f t="shared" si="22"/>
        <v>100373.86444800001</v>
      </c>
      <c r="R63" s="25">
        <f t="shared" si="23"/>
        <v>2414.2163974499999</v>
      </c>
    </row>
    <row r="64" spans="2:18" x14ac:dyDescent="0.25">
      <c r="B64" s="22">
        <f t="shared" si="5"/>
        <v>53</v>
      </c>
      <c r="C64" s="23">
        <f t="shared" si="6"/>
        <v>76987.967599576761</v>
      </c>
      <c r="D64" s="23">
        <f t="shared" si="7"/>
        <v>336.82235824814853</v>
      </c>
      <c r="E64" s="23">
        <f t="shared" si="8"/>
        <v>118.74569601891761</v>
      </c>
      <c r="F64" s="24">
        <f t="shared" si="9"/>
        <v>0</v>
      </c>
      <c r="G64" s="23">
        <f t="shared" si="10"/>
        <v>0</v>
      </c>
      <c r="H64" s="24"/>
      <c r="I64" s="23">
        <f t="shared" si="11"/>
        <v>0</v>
      </c>
      <c r="J64" s="23">
        <f t="shared" si="12"/>
        <v>118.74569601891761</v>
      </c>
      <c r="K64" s="23">
        <f t="shared" si="13"/>
        <v>76869.221903557846</v>
      </c>
      <c r="L64" s="23">
        <f t="shared" si="14"/>
        <v>455.56805426706615</v>
      </c>
      <c r="M64" s="23">
        <f t="shared" si="0"/>
        <v>0</v>
      </c>
      <c r="N64" s="23">
        <f t="shared" si="1"/>
        <v>101.04670747444456</v>
      </c>
      <c r="O64" s="23">
        <f t="shared" si="2"/>
        <v>354.52134679262156</v>
      </c>
      <c r="P64" s="23">
        <f t="shared" si="3"/>
        <v>235.77565077370394</v>
      </c>
      <c r="Q64" s="23">
        <f t="shared" si="22"/>
        <v>100373.86444800001</v>
      </c>
      <c r="R64" s="25">
        <f t="shared" si="23"/>
        <v>2414.2163974499999</v>
      </c>
    </row>
    <row r="65" spans="2:18" x14ac:dyDescent="0.25">
      <c r="B65" s="22">
        <f t="shared" si="5"/>
        <v>54</v>
      </c>
      <c r="C65" s="23">
        <f t="shared" si="6"/>
        <v>76869.221903557846</v>
      </c>
      <c r="D65" s="23">
        <f t="shared" si="7"/>
        <v>336.30284582806581</v>
      </c>
      <c r="E65" s="23">
        <f t="shared" si="8"/>
        <v>119.26520843900036</v>
      </c>
      <c r="F65" s="24">
        <f t="shared" si="9"/>
        <v>0</v>
      </c>
      <c r="G65" s="23">
        <f t="shared" si="10"/>
        <v>0</v>
      </c>
      <c r="H65" s="24"/>
      <c r="I65" s="23">
        <f t="shared" si="11"/>
        <v>0</v>
      </c>
      <c r="J65" s="23">
        <f t="shared" si="12"/>
        <v>119.26520843900036</v>
      </c>
      <c r="K65" s="23">
        <f t="shared" si="13"/>
        <v>76749.956695118846</v>
      </c>
      <c r="L65" s="23">
        <f t="shared" si="14"/>
        <v>455.56805426706615</v>
      </c>
      <c r="M65" s="23">
        <f t="shared" si="0"/>
        <v>0</v>
      </c>
      <c r="N65" s="23">
        <f t="shared" si="1"/>
        <v>100.89085374841974</v>
      </c>
      <c r="O65" s="23">
        <f t="shared" si="2"/>
        <v>354.67720051864637</v>
      </c>
      <c r="P65" s="23">
        <f t="shared" si="3"/>
        <v>235.41199207964601</v>
      </c>
      <c r="Q65" s="23">
        <f t="shared" si="22"/>
        <v>100373.86444800001</v>
      </c>
      <c r="R65" s="25">
        <f t="shared" si="23"/>
        <v>2414.2163974499999</v>
      </c>
    </row>
    <row r="66" spans="2:18" x14ac:dyDescent="0.25">
      <c r="B66" s="22">
        <f t="shared" si="5"/>
        <v>55</v>
      </c>
      <c r="C66" s="23">
        <f t="shared" si="6"/>
        <v>76749.956695118846</v>
      </c>
      <c r="D66" s="23">
        <f t="shared" si="7"/>
        <v>335.78106054114511</v>
      </c>
      <c r="E66" s="23">
        <f t="shared" si="8"/>
        <v>119.78699372592101</v>
      </c>
      <c r="F66" s="24">
        <f t="shared" si="9"/>
        <v>0</v>
      </c>
      <c r="G66" s="23">
        <f t="shared" si="10"/>
        <v>0</v>
      </c>
      <c r="H66" s="24"/>
      <c r="I66" s="23">
        <f t="shared" si="11"/>
        <v>0</v>
      </c>
      <c r="J66" s="23">
        <f t="shared" si="12"/>
        <v>119.78699372592101</v>
      </c>
      <c r="K66" s="23">
        <f t="shared" si="13"/>
        <v>76630.169701392922</v>
      </c>
      <c r="L66" s="23">
        <f t="shared" si="14"/>
        <v>455.56805426706615</v>
      </c>
      <c r="M66" s="23">
        <f t="shared" si="0"/>
        <v>0</v>
      </c>
      <c r="N66" s="23">
        <f t="shared" si="1"/>
        <v>100.73431816234353</v>
      </c>
      <c r="O66" s="23">
        <f t="shared" si="2"/>
        <v>354.83373610472262</v>
      </c>
      <c r="P66" s="23">
        <f t="shared" si="3"/>
        <v>235.04674237880161</v>
      </c>
      <c r="Q66" s="23">
        <f t="shared" si="22"/>
        <v>100373.86444800001</v>
      </c>
      <c r="R66" s="25">
        <f t="shared" si="23"/>
        <v>2414.2163974499999</v>
      </c>
    </row>
    <row r="67" spans="2:18" x14ac:dyDescent="0.25">
      <c r="B67" s="22">
        <f t="shared" si="5"/>
        <v>56</v>
      </c>
      <c r="C67" s="23">
        <f t="shared" si="6"/>
        <v>76630.169701392922</v>
      </c>
      <c r="D67" s="23">
        <f t="shared" si="7"/>
        <v>335.25699244359424</v>
      </c>
      <c r="E67" s="23">
        <f t="shared" si="8"/>
        <v>120.31106182347192</v>
      </c>
      <c r="F67" s="24">
        <f t="shared" si="9"/>
        <v>0</v>
      </c>
      <c r="G67" s="23">
        <f t="shared" si="10"/>
        <v>0</v>
      </c>
      <c r="H67" s="24"/>
      <c r="I67" s="23">
        <f t="shared" si="11"/>
        <v>0</v>
      </c>
      <c r="J67" s="23">
        <f t="shared" si="12"/>
        <v>120.31106182347192</v>
      </c>
      <c r="K67" s="23">
        <f t="shared" si="13"/>
        <v>76509.858639569444</v>
      </c>
      <c r="L67" s="23">
        <f t="shared" si="14"/>
        <v>455.56805426706615</v>
      </c>
      <c r="M67" s="23">
        <f t="shared" si="0"/>
        <v>0</v>
      </c>
      <c r="N67" s="23">
        <f t="shared" si="1"/>
        <v>100.57709773307828</v>
      </c>
      <c r="O67" s="23">
        <f t="shared" si="2"/>
        <v>354.99095653398786</v>
      </c>
      <c r="P67" s="23">
        <f t="shared" si="3"/>
        <v>234.67989471051595</v>
      </c>
      <c r="Q67" s="23">
        <f t="shared" si="22"/>
        <v>100373.86444800001</v>
      </c>
      <c r="R67" s="25">
        <f t="shared" si="23"/>
        <v>2414.2163974499999</v>
      </c>
    </row>
    <row r="68" spans="2:18" x14ac:dyDescent="0.25">
      <c r="B68" s="22">
        <f t="shared" si="5"/>
        <v>57</v>
      </c>
      <c r="C68" s="23">
        <f t="shared" si="6"/>
        <v>76509.858639569444</v>
      </c>
      <c r="D68" s="23">
        <f t="shared" si="7"/>
        <v>334.73063154811655</v>
      </c>
      <c r="E68" s="23">
        <f t="shared" si="8"/>
        <v>120.83742271894961</v>
      </c>
      <c r="F68" s="24">
        <f t="shared" si="9"/>
        <v>0</v>
      </c>
      <c r="G68" s="23">
        <f t="shared" si="10"/>
        <v>0</v>
      </c>
      <c r="H68" s="24"/>
      <c r="I68" s="23">
        <f t="shared" si="11"/>
        <v>0</v>
      </c>
      <c r="J68" s="23">
        <f t="shared" si="12"/>
        <v>120.83742271894961</v>
      </c>
      <c r="K68" s="23">
        <f t="shared" si="13"/>
        <v>76389.021216850495</v>
      </c>
      <c r="L68" s="23">
        <f t="shared" si="14"/>
        <v>455.56805426706615</v>
      </c>
      <c r="M68" s="23">
        <f t="shared" si="0"/>
        <v>0</v>
      </c>
      <c r="N68" s="23">
        <f t="shared" si="1"/>
        <v>100.41918946443496</v>
      </c>
      <c r="O68" s="23">
        <f t="shared" si="2"/>
        <v>355.14886480263118</v>
      </c>
      <c r="P68" s="23">
        <f t="shared" si="3"/>
        <v>234.31144208368158</v>
      </c>
      <c r="Q68" s="23">
        <f t="shared" si="22"/>
        <v>100373.86444800001</v>
      </c>
      <c r="R68" s="25">
        <f t="shared" si="23"/>
        <v>2414.2163974499999</v>
      </c>
    </row>
    <row r="69" spans="2:18" x14ac:dyDescent="0.25">
      <c r="B69" s="22">
        <f t="shared" si="5"/>
        <v>58</v>
      </c>
      <c r="C69" s="23">
        <f t="shared" si="6"/>
        <v>76389.021216850495</v>
      </c>
      <c r="D69" s="23">
        <f t="shared" si="7"/>
        <v>334.20196782372113</v>
      </c>
      <c r="E69" s="23">
        <f t="shared" si="8"/>
        <v>121.36608644334497</v>
      </c>
      <c r="F69" s="24">
        <f t="shared" si="9"/>
        <v>0</v>
      </c>
      <c r="G69" s="23">
        <f t="shared" si="10"/>
        <v>0</v>
      </c>
      <c r="H69" s="24"/>
      <c r="I69" s="23">
        <f t="shared" si="11"/>
        <v>0</v>
      </c>
      <c r="J69" s="23">
        <f t="shared" si="12"/>
        <v>121.36608644334497</v>
      </c>
      <c r="K69" s="23">
        <f t="shared" si="13"/>
        <v>76267.655130407147</v>
      </c>
      <c r="L69" s="23">
        <f t="shared" si="14"/>
        <v>455.56805426706609</v>
      </c>
      <c r="M69" s="23">
        <f t="shared" si="0"/>
        <v>0</v>
      </c>
      <c r="N69" s="23">
        <f t="shared" si="1"/>
        <v>100.26059034711633</v>
      </c>
      <c r="O69" s="23">
        <f t="shared" si="2"/>
        <v>355.30746391994978</v>
      </c>
      <c r="P69" s="23">
        <f t="shared" si="3"/>
        <v>233.94137747660483</v>
      </c>
      <c r="Q69" s="23">
        <f t="shared" si="22"/>
        <v>100373.86444800001</v>
      </c>
      <c r="R69" s="25">
        <f t="shared" si="23"/>
        <v>2414.2163974499999</v>
      </c>
    </row>
    <row r="70" spans="2:18" x14ac:dyDescent="0.25">
      <c r="B70" s="22">
        <f t="shared" si="5"/>
        <v>59</v>
      </c>
      <c r="C70" s="23">
        <f t="shared" si="6"/>
        <v>76267.655130407147</v>
      </c>
      <c r="D70" s="23">
        <f t="shared" si="7"/>
        <v>333.67099119553149</v>
      </c>
      <c r="E70" s="23">
        <f t="shared" si="8"/>
        <v>121.89706307153463</v>
      </c>
      <c r="F70" s="24">
        <f t="shared" si="9"/>
        <v>0</v>
      </c>
      <c r="G70" s="23">
        <f t="shared" si="10"/>
        <v>0</v>
      </c>
      <c r="H70" s="24"/>
      <c r="I70" s="23">
        <f t="shared" si="11"/>
        <v>0</v>
      </c>
      <c r="J70" s="23">
        <f t="shared" si="12"/>
        <v>121.89706307153463</v>
      </c>
      <c r="K70" s="23">
        <f t="shared" si="13"/>
        <v>76145.758067335613</v>
      </c>
      <c r="L70" s="23">
        <f t="shared" si="14"/>
        <v>455.56805426706615</v>
      </c>
      <c r="M70" s="23">
        <f t="shared" si="0"/>
        <v>0</v>
      </c>
      <c r="N70" s="23">
        <f t="shared" si="1"/>
        <v>100.10129735865944</v>
      </c>
      <c r="O70" s="23">
        <f t="shared" si="2"/>
        <v>355.46675690840669</v>
      </c>
      <c r="P70" s="23">
        <f t="shared" si="3"/>
        <v>233.56969383687206</v>
      </c>
      <c r="Q70" s="23">
        <f t="shared" si="22"/>
        <v>100373.86444800001</v>
      </c>
      <c r="R70" s="25">
        <f t="shared" si="23"/>
        <v>2414.2163974499999</v>
      </c>
    </row>
    <row r="71" spans="2:18" x14ac:dyDescent="0.25">
      <c r="B71" s="22">
        <f t="shared" si="5"/>
        <v>60</v>
      </c>
      <c r="C71" s="23">
        <f t="shared" si="6"/>
        <v>76145.758067335613</v>
      </c>
      <c r="D71" s="23">
        <f t="shared" si="7"/>
        <v>333.13769154459351</v>
      </c>
      <c r="E71" s="23">
        <f t="shared" si="8"/>
        <v>122.43036272247259</v>
      </c>
      <c r="F71" s="24">
        <f t="shared" si="9"/>
        <v>0</v>
      </c>
      <c r="G71" s="23">
        <f t="shared" si="10"/>
        <v>0</v>
      </c>
      <c r="H71" s="24"/>
      <c r="I71" s="23">
        <f t="shared" si="11"/>
        <v>0</v>
      </c>
      <c r="J71" s="23">
        <f t="shared" si="12"/>
        <v>122.43036272247259</v>
      </c>
      <c r="K71" s="23">
        <f t="shared" si="13"/>
        <v>76023.327704613141</v>
      </c>
      <c r="L71" s="23">
        <f t="shared" si="14"/>
        <v>455.56805426706609</v>
      </c>
      <c r="M71" s="23">
        <f t="shared" si="0"/>
        <v>0</v>
      </c>
      <c r="N71" s="23">
        <f t="shared" si="1"/>
        <v>99.941307463378052</v>
      </c>
      <c r="O71" s="23">
        <f t="shared" si="2"/>
        <v>355.62674680368804</v>
      </c>
      <c r="P71" s="23">
        <f t="shared" si="3"/>
        <v>233.19638408121546</v>
      </c>
      <c r="Q71" s="23">
        <f t="shared" si="22"/>
        <v>100373.86444800001</v>
      </c>
      <c r="R71" s="25">
        <f t="shared" si="23"/>
        <v>2414.2163974499999</v>
      </c>
    </row>
    <row r="72" spans="2:18" x14ac:dyDescent="0.25">
      <c r="B72" s="22">
        <f t="shared" si="5"/>
        <v>61</v>
      </c>
      <c r="C72" s="23">
        <f t="shared" si="6"/>
        <v>76023.327704613141</v>
      </c>
      <c r="D72" s="23">
        <f t="shared" si="7"/>
        <v>332.60205870768272</v>
      </c>
      <c r="E72" s="23">
        <f t="shared" si="8"/>
        <v>122.96599555938343</v>
      </c>
      <c r="F72" s="24">
        <f t="shared" si="9"/>
        <v>0</v>
      </c>
      <c r="G72" s="23">
        <f t="shared" si="10"/>
        <v>0</v>
      </c>
      <c r="H72" s="24"/>
      <c r="I72" s="23">
        <f t="shared" si="11"/>
        <v>0</v>
      </c>
      <c r="J72" s="23">
        <f t="shared" si="12"/>
        <v>122.96599555938343</v>
      </c>
      <c r="K72" s="23">
        <f t="shared" si="13"/>
        <v>75900.361709053759</v>
      </c>
      <c r="L72" s="23">
        <f t="shared" si="14"/>
        <v>455.56805426706615</v>
      </c>
      <c r="M72" s="23">
        <f t="shared" si="0"/>
        <v>0</v>
      </c>
      <c r="N72" s="23">
        <f t="shared" si="1"/>
        <v>99.780617612304809</v>
      </c>
      <c r="O72" s="23">
        <f t="shared" si="2"/>
        <v>355.78743665476134</v>
      </c>
      <c r="P72" s="23">
        <f t="shared" si="3"/>
        <v>232.82144109537791</v>
      </c>
      <c r="Q72" s="23">
        <f t="shared" ref="Q72:Q83" si="24">$Q$71+ $Q$71*$L$8</f>
        <v>104388.81902592001</v>
      </c>
      <c r="R72" s="25">
        <f>$R$71 + ($R$71 * $S$5)</f>
        <v>2486.6428893735001</v>
      </c>
    </row>
    <row r="73" spans="2:18" x14ac:dyDescent="0.25">
      <c r="B73" s="22">
        <f t="shared" si="5"/>
        <v>62</v>
      </c>
      <c r="C73" s="23">
        <f t="shared" si="6"/>
        <v>75900.361709053759</v>
      </c>
      <c r="D73" s="23">
        <f t="shared" si="7"/>
        <v>332.06408247711039</v>
      </c>
      <c r="E73" s="23">
        <f t="shared" si="8"/>
        <v>123.50397178995571</v>
      </c>
      <c r="F73" s="24">
        <f t="shared" si="9"/>
        <v>0</v>
      </c>
      <c r="G73" s="23">
        <f t="shared" si="10"/>
        <v>0</v>
      </c>
      <c r="H73" s="24"/>
      <c r="I73" s="23">
        <f t="shared" si="11"/>
        <v>0</v>
      </c>
      <c r="J73" s="23">
        <f t="shared" si="12"/>
        <v>123.50397178995571</v>
      </c>
      <c r="K73" s="23">
        <f t="shared" si="13"/>
        <v>75776.85773726381</v>
      </c>
      <c r="L73" s="23">
        <f t="shared" si="14"/>
        <v>455.56805426706609</v>
      </c>
      <c r="M73" s="23">
        <f t="shared" si="0"/>
        <v>0</v>
      </c>
      <c r="N73" s="23">
        <f t="shared" si="1"/>
        <v>99.619224743133117</v>
      </c>
      <c r="O73" s="23">
        <f t="shared" si="2"/>
        <v>355.948829523933</v>
      </c>
      <c r="P73" s="23">
        <f t="shared" si="3"/>
        <v>232.4448577339773</v>
      </c>
      <c r="Q73" s="23">
        <f t="shared" si="24"/>
        <v>104388.81902592001</v>
      </c>
      <c r="R73" s="25">
        <f t="shared" ref="R73:R83" si="25">$R$71 + ($R$71 * $S$5)</f>
        <v>2486.6428893735001</v>
      </c>
    </row>
    <row r="74" spans="2:18" x14ac:dyDescent="0.25">
      <c r="B74" s="22">
        <f t="shared" si="5"/>
        <v>63</v>
      </c>
      <c r="C74" s="23">
        <f t="shared" si="6"/>
        <v>75776.85773726381</v>
      </c>
      <c r="D74" s="23">
        <f t="shared" si="7"/>
        <v>331.52375260052935</v>
      </c>
      <c r="E74" s="23">
        <f t="shared" si="8"/>
        <v>124.04430166653675</v>
      </c>
      <c r="F74" s="24">
        <f t="shared" si="9"/>
        <v>0</v>
      </c>
      <c r="G74" s="23">
        <f t="shared" si="10"/>
        <v>0</v>
      </c>
      <c r="H74" s="24"/>
      <c r="I74" s="23">
        <f t="shared" si="11"/>
        <v>0</v>
      </c>
      <c r="J74" s="23">
        <f t="shared" si="12"/>
        <v>124.04430166653675</v>
      </c>
      <c r="K74" s="23">
        <f t="shared" si="13"/>
        <v>75652.813435597272</v>
      </c>
      <c r="L74" s="23">
        <f t="shared" si="14"/>
        <v>455.56805426706609</v>
      </c>
      <c r="M74" s="23">
        <f t="shared" si="0"/>
        <v>0</v>
      </c>
      <c r="N74" s="23">
        <f t="shared" si="1"/>
        <v>99.457125780158805</v>
      </c>
      <c r="O74" s="23">
        <f t="shared" si="2"/>
        <v>356.11092848690726</v>
      </c>
      <c r="P74" s="23">
        <f t="shared" si="3"/>
        <v>232.06662682037052</v>
      </c>
      <c r="Q74" s="23">
        <f t="shared" si="24"/>
        <v>104388.81902592001</v>
      </c>
      <c r="R74" s="25">
        <f t="shared" si="25"/>
        <v>2486.6428893735001</v>
      </c>
    </row>
    <row r="75" spans="2:18" x14ac:dyDescent="0.25">
      <c r="B75" s="22">
        <f t="shared" si="5"/>
        <v>64</v>
      </c>
      <c r="C75" s="23">
        <f t="shared" si="6"/>
        <v>75652.813435597272</v>
      </c>
      <c r="D75" s="23">
        <f t="shared" si="7"/>
        <v>330.98105878073824</v>
      </c>
      <c r="E75" s="23">
        <f t="shared" si="8"/>
        <v>124.58699548632788</v>
      </c>
      <c r="F75" s="24">
        <f t="shared" si="9"/>
        <v>0</v>
      </c>
      <c r="G75" s="23">
        <f t="shared" si="10"/>
        <v>0</v>
      </c>
      <c r="H75" s="24"/>
      <c r="I75" s="23">
        <f t="shared" si="11"/>
        <v>0</v>
      </c>
      <c r="J75" s="23">
        <f t="shared" si="12"/>
        <v>124.58699548632788</v>
      </c>
      <c r="K75" s="23">
        <f t="shared" si="13"/>
        <v>75528.226440110942</v>
      </c>
      <c r="L75" s="23">
        <f t="shared" si="14"/>
        <v>455.56805426706615</v>
      </c>
      <c r="M75" s="23">
        <f t="shared" si="0"/>
        <v>0</v>
      </c>
      <c r="N75" s="23">
        <f t="shared" si="1"/>
        <v>99.294317634221471</v>
      </c>
      <c r="O75" s="23">
        <f t="shared" si="2"/>
        <v>356.2737366328447</v>
      </c>
      <c r="P75" s="23">
        <f t="shared" si="3"/>
        <v>231.68674114651682</v>
      </c>
      <c r="Q75" s="23">
        <f t="shared" si="24"/>
        <v>104388.81902592001</v>
      </c>
      <c r="R75" s="25">
        <f t="shared" si="25"/>
        <v>2486.6428893735001</v>
      </c>
    </row>
    <row r="76" spans="2:18" x14ac:dyDescent="0.25">
      <c r="B76" s="22">
        <f t="shared" si="5"/>
        <v>65</v>
      </c>
      <c r="C76" s="23">
        <f t="shared" si="6"/>
        <v>75528.226440110942</v>
      </c>
      <c r="D76" s="23">
        <f t="shared" si="7"/>
        <v>330.43599067548553</v>
      </c>
      <c r="E76" s="23">
        <f t="shared" si="8"/>
        <v>125.13206359158056</v>
      </c>
      <c r="F76" s="24">
        <f t="shared" si="9"/>
        <v>0</v>
      </c>
      <c r="G76" s="23">
        <f t="shared" si="10"/>
        <v>0</v>
      </c>
      <c r="H76" s="24"/>
      <c r="I76" s="23">
        <f t="shared" si="11"/>
        <v>0</v>
      </c>
      <c r="J76" s="23">
        <f t="shared" si="12"/>
        <v>125.13206359158056</v>
      </c>
      <c r="K76" s="23">
        <f t="shared" si="13"/>
        <v>75403.094376519366</v>
      </c>
      <c r="L76" s="23">
        <f t="shared" si="14"/>
        <v>455.56805426706609</v>
      </c>
      <c r="M76" s="23">
        <f t="shared" ref="M76:M139" si="26">+$L$4</f>
        <v>0</v>
      </c>
      <c r="N76" s="23">
        <f t="shared" ref="N76:N139" si="27">(D76+F76)*0.3</f>
        <v>99.130797202645653</v>
      </c>
      <c r="O76" s="23">
        <f t="shared" ref="O76:O139" si="28">L76+M76-N76</f>
        <v>356.43725706442046</v>
      </c>
      <c r="P76" s="23">
        <f t="shared" ref="P76:P139" si="29">O76-E76+M76</f>
        <v>231.3051934728399</v>
      </c>
      <c r="Q76" s="23">
        <f t="shared" si="24"/>
        <v>104388.81902592001</v>
      </c>
      <c r="R76" s="25">
        <f t="shared" si="25"/>
        <v>2486.6428893735001</v>
      </c>
    </row>
    <row r="77" spans="2:18" x14ac:dyDescent="0.25">
      <c r="B77" s="22">
        <f t="shared" ref="B77:B140" si="30">+IF(K76&gt;1,IF(B76="","",B76+1),"")</f>
        <v>66</v>
      </c>
      <c r="C77" s="23">
        <f t="shared" ref="C77:C140" si="31">+IF(B77="","",K76)</f>
        <v>75403.094376519366</v>
      </c>
      <c r="D77" s="23">
        <f t="shared" ref="D77:D140" si="32">+IF(B77="",0,-IPMT($C$5/12,B77,$C$6,$C$7))</f>
        <v>329.88853789727239</v>
      </c>
      <c r="E77" s="23">
        <f t="shared" ref="E77:E140" si="33">+IF(B77="",0,-PPMT($C$5/12,B77,$C$6,$C$7))</f>
        <v>125.67951636979372</v>
      </c>
      <c r="F77" s="24">
        <f t="shared" ref="F77:F140" si="34">+IF(B77="",0,$G$4)</f>
        <v>0</v>
      </c>
      <c r="G77" s="23">
        <f t="shared" ref="G77:G140" si="35">+IF(B77="",0,IF(C77&lt;$C$4*0.8,0,$G$5))</f>
        <v>0</v>
      </c>
      <c r="H77" s="24"/>
      <c r="I77" s="23">
        <f t="shared" ref="I77:I140" si="36">0.35/100*$C$4/12*0</f>
        <v>0</v>
      </c>
      <c r="J77" s="23">
        <f t="shared" ref="J77:J140" si="37">+IF(B77="",0,E77+H77)</f>
        <v>125.67951636979372</v>
      </c>
      <c r="K77" s="23">
        <f t="shared" ref="K77:K140" si="38">+IF(B77="","",C77-J77)</f>
        <v>75277.414860149569</v>
      </c>
      <c r="L77" s="23">
        <f t="shared" ref="L77:L140" si="39">I77+H77+G77+F77+E77+D77</f>
        <v>455.56805426706609</v>
      </c>
      <c r="M77" s="23">
        <f t="shared" si="26"/>
        <v>0</v>
      </c>
      <c r="N77" s="23">
        <f t="shared" si="27"/>
        <v>98.966561369181719</v>
      </c>
      <c r="O77" s="23">
        <f t="shared" si="28"/>
        <v>356.60149289788438</v>
      </c>
      <c r="P77" s="23">
        <f t="shared" si="29"/>
        <v>230.92197652809068</v>
      </c>
      <c r="Q77" s="23">
        <f t="shared" si="24"/>
        <v>104388.81902592001</v>
      </c>
      <c r="R77" s="25">
        <f t="shared" si="25"/>
        <v>2486.6428893735001</v>
      </c>
    </row>
    <row r="78" spans="2:18" x14ac:dyDescent="0.25">
      <c r="B78" s="22">
        <f t="shared" si="30"/>
        <v>67</v>
      </c>
      <c r="C78" s="23">
        <f t="shared" si="31"/>
        <v>75277.414860149569</v>
      </c>
      <c r="D78" s="23">
        <f t="shared" si="32"/>
        <v>329.33869001315452</v>
      </c>
      <c r="E78" s="23">
        <f t="shared" si="33"/>
        <v>126.22936425391157</v>
      </c>
      <c r="F78" s="24">
        <f t="shared" si="34"/>
        <v>0</v>
      </c>
      <c r="G78" s="23">
        <f t="shared" si="35"/>
        <v>0</v>
      </c>
      <c r="H78" s="24"/>
      <c r="I78" s="23">
        <f t="shared" si="36"/>
        <v>0</v>
      </c>
      <c r="J78" s="23">
        <f t="shared" si="37"/>
        <v>126.22936425391157</v>
      </c>
      <c r="K78" s="23">
        <f t="shared" si="38"/>
        <v>75151.185495895654</v>
      </c>
      <c r="L78" s="23">
        <f t="shared" si="39"/>
        <v>455.56805426706609</v>
      </c>
      <c r="M78" s="23">
        <f t="shared" si="26"/>
        <v>0</v>
      </c>
      <c r="N78" s="23">
        <f t="shared" si="27"/>
        <v>98.801607003946359</v>
      </c>
      <c r="O78" s="23">
        <f t="shared" si="28"/>
        <v>356.76644726311974</v>
      </c>
      <c r="P78" s="23">
        <f t="shared" si="29"/>
        <v>230.53708300920817</v>
      </c>
      <c r="Q78" s="23">
        <f t="shared" si="24"/>
        <v>104388.81902592001</v>
      </c>
      <c r="R78" s="25">
        <f t="shared" si="25"/>
        <v>2486.6428893735001</v>
      </c>
    </row>
    <row r="79" spans="2:18" x14ac:dyDescent="0.25">
      <c r="B79" s="22">
        <f t="shared" si="30"/>
        <v>68</v>
      </c>
      <c r="C79" s="23">
        <f t="shared" si="31"/>
        <v>75151.185495895654</v>
      </c>
      <c r="D79" s="23">
        <f t="shared" si="32"/>
        <v>328.78643654454373</v>
      </c>
      <c r="E79" s="23">
        <f t="shared" si="33"/>
        <v>126.78161772252243</v>
      </c>
      <c r="F79" s="24">
        <f t="shared" si="34"/>
        <v>0</v>
      </c>
      <c r="G79" s="23">
        <f t="shared" si="35"/>
        <v>0</v>
      </c>
      <c r="H79" s="24"/>
      <c r="I79" s="23">
        <f t="shared" si="36"/>
        <v>0</v>
      </c>
      <c r="J79" s="23">
        <f t="shared" si="37"/>
        <v>126.78161772252243</v>
      </c>
      <c r="K79" s="23">
        <f t="shared" si="38"/>
        <v>75024.403878173136</v>
      </c>
      <c r="L79" s="23">
        <f t="shared" si="39"/>
        <v>455.56805426706615</v>
      </c>
      <c r="M79" s="23">
        <f t="shared" si="26"/>
        <v>0</v>
      </c>
      <c r="N79" s="23">
        <f t="shared" si="27"/>
        <v>98.635930963363123</v>
      </c>
      <c r="O79" s="23">
        <f t="shared" si="28"/>
        <v>356.93212330370301</v>
      </c>
      <c r="P79" s="23">
        <f t="shared" si="29"/>
        <v>230.1505055811806</v>
      </c>
      <c r="Q79" s="23">
        <f t="shared" si="24"/>
        <v>104388.81902592001</v>
      </c>
      <c r="R79" s="25">
        <f t="shared" si="25"/>
        <v>2486.6428893735001</v>
      </c>
    </row>
    <row r="80" spans="2:18" x14ac:dyDescent="0.25">
      <c r="B80" s="22">
        <f t="shared" si="30"/>
        <v>69</v>
      </c>
      <c r="C80" s="23">
        <f t="shared" si="31"/>
        <v>75024.403878173136</v>
      </c>
      <c r="D80" s="23">
        <f t="shared" si="32"/>
        <v>328.23176696700767</v>
      </c>
      <c r="E80" s="23">
        <f t="shared" si="33"/>
        <v>127.33628730005847</v>
      </c>
      <c r="F80" s="24">
        <f t="shared" si="34"/>
        <v>0</v>
      </c>
      <c r="G80" s="23">
        <f t="shared" si="35"/>
        <v>0</v>
      </c>
      <c r="H80" s="24"/>
      <c r="I80" s="23">
        <f t="shared" si="36"/>
        <v>0</v>
      </c>
      <c r="J80" s="23">
        <f t="shared" si="37"/>
        <v>127.33628730005847</v>
      </c>
      <c r="K80" s="23">
        <f t="shared" si="38"/>
        <v>74897.067590873077</v>
      </c>
      <c r="L80" s="23">
        <f t="shared" si="39"/>
        <v>455.56805426706615</v>
      </c>
      <c r="M80" s="23">
        <f t="shared" si="26"/>
        <v>0</v>
      </c>
      <c r="N80" s="23">
        <f t="shared" si="27"/>
        <v>98.469530090102296</v>
      </c>
      <c r="O80" s="23">
        <f t="shared" si="28"/>
        <v>357.09852417696385</v>
      </c>
      <c r="P80" s="23">
        <f t="shared" si="29"/>
        <v>229.76223687690538</v>
      </c>
      <c r="Q80" s="23">
        <f t="shared" si="24"/>
        <v>104388.81902592001</v>
      </c>
      <c r="R80" s="25">
        <f t="shared" si="25"/>
        <v>2486.6428893735001</v>
      </c>
    </row>
    <row r="81" spans="2:18" x14ac:dyDescent="0.25">
      <c r="B81" s="22">
        <f t="shared" si="30"/>
        <v>70</v>
      </c>
      <c r="C81" s="23">
        <f t="shared" si="31"/>
        <v>74897.067590873077</v>
      </c>
      <c r="D81" s="23">
        <f t="shared" si="32"/>
        <v>327.67467071006985</v>
      </c>
      <c r="E81" s="23">
        <f t="shared" si="33"/>
        <v>127.89338355699624</v>
      </c>
      <c r="F81" s="24">
        <f t="shared" si="34"/>
        <v>0</v>
      </c>
      <c r="G81" s="23">
        <f t="shared" si="35"/>
        <v>0</v>
      </c>
      <c r="H81" s="24"/>
      <c r="I81" s="23">
        <f t="shared" si="36"/>
        <v>0</v>
      </c>
      <c r="J81" s="23">
        <f t="shared" si="37"/>
        <v>127.89338355699624</v>
      </c>
      <c r="K81" s="23">
        <f t="shared" si="38"/>
        <v>74769.174207316086</v>
      </c>
      <c r="L81" s="23">
        <f t="shared" si="39"/>
        <v>455.56805426706609</v>
      </c>
      <c r="M81" s="23">
        <f t="shared" si="26"/>
        <v>0</v>
      </c>
      <c r="N81" s="23">
        <f t="shared" si="27"/>
        <v>98.302401213020957</v>
      </c>
      <c r="O81" s="23">
        <f t="shared" si="28"/>
        <v>357.26565305404512</v>
      </c>
      <c r="P81" s="23">
        <f t="shared" si="29"/>
        <v>229.37226949704888</v>
      </c>
      <c r="Q81" s="23">
        <f t="shared" si="24"/>
        <v>104388.81902592001</v>
      </c>
      <c r="R81" s="25">
        <f t="shared" si="25"/>
        <v>2486.6428893735001</v>
      </c>
    </row>
    <row r="82" spans="2:18" x14ac:dyDescent="0.25">
      <c r="B82" s="22">
        <f t="shared" si="30"/>
        <v>71</v>
      </c>
      <c r="C82" s="23">
        <f t="shared" si="31"/>
        <v>74769.174207316086</v>
      </c>
      <c r="D82" s="23">
        <f t="shared" si="32"/>
        <v>327.11513715700801</v>
      </c>
      <c r="E82" s="23">
        <f t="shared" si="33"/>
        <v>128.45291711005808</v>
      </c>
      <c r="F82" s="24">
        <f t="shared" si="34"/>
        <v>0</v>
      </c>
      <c r="G82" s="23">
        <f t="shared" si="35"/>
        <v>0</v>
      </c>
      <c r="H82" s="24"/>
      <c r="I82" s="23">
        <f t="shared" si="36"/>
        <v>0</v>
      </c>
      <c r="J82" s="23">
        <f t="shared" si="37"/>
        <v>128.45291711005808</v>
      </c>
      <c r="K82" s="23">
        <f t="shared" si="38"/>
        <v>74640.721290206027</v>
      </c>
      <c r="L82" s="23">
        <f t="shared" si="39"/>
        <v>455.56805426706609</v>
      </c>
      <c r="M82" s="23">
        <f t="shared" si="26"/>
        <v>0</v>
      </c>
      <c r="N82" s="23">
        <f t="shared" si="27"/>
        <v>98.134541147102397</v>
      </c>
      <c r="O82" s="23">
        <f t="shared" si="28"/>
        <v>357.43351311996366</v>
      </c>
      <c r="P82" s="23">
        <f t="shared" si="29"/>
        <v>228.98059600990558</v>
      </c>
      <c r="Q82" s="23">
        <f t="shared" si="24"/>
        <v>104388.81902592001</v>
      </c>
      <c r="R82" s="25">
        <f t="shared" si="25"/>
        <v>2486.6428893735001</v>
      </c>
    </row>
    <row r="83" spans="2:18" x14ac:dyDescent="0.25">
      <c r="B83" s="22">
        <f t="shared" si="30"/>
        <v>72</v>
      </c>
      <c r="C83" s="23">
        <f t="shared" si="31"/>
        <v>74640.721290206027</v>
      </c>
      <c r="D83" s="23">
        <f t="shared" si="32"/>
        <v>326.55315564465155</v>
      </c>
      <c r="E83" s="23">
        <f t="shared" si="33"/>
        <v>129.01489862241459</v>
      </c>
      <c r="F83" s="24">
        <f t="shared" si="34"/>
        <v>0</v>
      </c>
      <c r="G83" s="23">
        <f t="shared" si="35"/>
        <v>0</v>
      </c>
      <c r="H83" s="24"/>
      <c r="I83" s="23">
        <f t="shared" si="36"/>
        <v>0</v>
      </c>
      <c r="J83" s="23">
        <f t="shared" si="37"/>
        <v>129.01489862241459</v>
      </c>
      <c r="K83" s="23">
        <f t="shared" si="38"/>
        <v>74511.706391583619</v>
      </c>
      <c r="L83" s="23">
        <f t="shared" si="39"/>
        <v>455.56805426706615</v>
      </c>
      <c r="M83" s="23">
        <f t="shared" si="26"/>
        <v>0</v>
      </c>
      <c r="N83" s="23">
        <f t="shared" si="27"/>
        <v>97.965946693395466</v>
      </c>
      <c r="O83" s="23">
        <f t="shared" si="28"/>
        <v>357.60210757367065</v>
      </c>
      <c r="P83" s="23">
        <f t="shared" si="29"/>
        <v>228.58720895125606</v>
      </c>
      <c r="Q83" s="23">
        <f t="shared" si="24"/>
        <v>104388.81902592001</v>
      </c>
      <c r="R83" s="25">
        <f t="shared" si="25"/>
        <v>2486.6428893735001</v>
      </c>
    </row>
    <row r="84" spans="2:18" x14ac:dyDescent="0.25">
      <c r="B84" s="22">
        <f t="shared" si="30"/>
        <v>73</v>
      </c>
      <c r="C84" s="23">
        <f t="shared" si="31"/>
        <v>74511.706391583619</v>
      </c>
      <c r="D84" s="23">
        <f t="shared" si="32"/>
        <v>325.98871546317849</v>
      </c>
      <c r="E84" s="23">
        <f t="shared" si="33"/>
        <v>129.57933880388765</v>
      </c>
      <c r="F84" s="24">
        <f t="shared" si="34"/>
        <v>0</v>
      </c>
      <c r="G84" s="23">
        <f t="shared" si="35"/>
        <v>0</v>
      </c>
      <c r="H84" s="24"/>
      <c r="I84" s="23">
        <f t="shared" si="36"/>
        <v>0</v>
      </c>
      <c r="J84" s="23">
        <f t="shared" si="37"/>
        <v>129.57933880388765</v>
      </c>
      <c r="K84" s="23">
        <f t="shared" si="38"/>
        <v>74382.127052779731</v>
      </c>
      <c r="L84" s="23">
        <f t="shared" si="39"/>
        <v>455.56805426706615</v>
      </c>
      <c r="M84" s="23">
        <f t="shared" si="26"/>
        <v>0</v>
      </c>
      <c r="N84" s="23">
        <f t="shared" si="27"/>
        <v>97.796614638953542</v>
      </c>
      <c r="O84" s="23">
        <f t="shared" si="28"/>
        <v>357.7714396281126</v>
      </c>
      <c r="P84" s="23">
        <f t="shared" si="29"/>
        <v>228.19210082422495</v>
      </c>
      <c r="Q84" s="23">
        <f t="shared" ref="Q84:Q95" si="40">$Q$83+ $Q$83*$L$8</f>
        <v>108564.37178695681</v>
      </c>
      <c r="R84" s="25">
        <f>$R$83 + ($R$83 * $S$5)</f>
        <v>2561.2421760547049</v>
      </c>
    </row>
    <row r="85" spans="2:18" x14ac:dyDescent="0.25">
      <c r="B85" s="22">
        <f t="shared" si="30"/>
        <v>74</v>
      </c>
      <c r="C85" s="23">
        <f t="shared" si="31"/>
        <v>74382.127052779731</v>
      </c>
      <c r="D85" s="23">
        <f t="shared" si="32"/>
        <v>325.42180585591143</v>
      </c>
      <c r="E85" s="23">
        <f t="shared" si="33"/>
        <v>130.14624841115466</v>
      </c>
      <c r="F85" s="24">
        <f t="shared" si="34"/>
        <v>0</v>
      </c>
      <c r="G85" s="23">
        <f t="shared" si="35"/>
        <v>0</v>
      </c>
      <c r="H85" s="24"/>
      <c r="I85" s="23">
        <f t="shared" si="36"/>
        <v>0</v>
      </c>
      <c r="J85" s="23">
        <f t="shared" si="37"/>
        <v>130.14624841115466</v>
      </c>
      <c r="K85" s="23">
        <f t="shared" si="38"/>
        <v>74251.980804368577</v>
      </c>
      <c r="L85" s="23">
        <f t="shared" si="39"/>
        <v>455.56805426706609</v>
      </c>
      <c r="M85" s="23">
        <f t="shared" si="26"/>
        <v>0</v>
      </c>
      <c r="N85" s="23">
        <f t="shared" si="27"/>
        <v>97.62654175677342</v>
      </c>
      <c r="O85" s="23">
        <f t="shared" si="28"/>
        <v>357.94151251029268</v>
      </c>
      <c r="P85" s="23">
        <f t="shared" si="29"/>
        <v>227.79526409913802</v>
      </c>
      <c r="Q85" s="23">
        <f t="shared" si="40"/>
        <v>108564.37178695681</v>
      </c>
      <c r="R85" s="25">
        <f t="shared" ref="R85:R95" si="41">$R$83 + ($R$83 * $S$5)</f>
        <v>2561.2421760547049</v>
      </c>
    </row>
    <row r="86" spans="2:18" x14ac:dyDescent="0.25">
      <c r="B86" s="22">
        <f t="shared" si="30"/>
        <v>75</v>
      </c>
      <c r="C86" s="23">
        <f t="shared" si="31"/>
        <v>74251.980804368577</v>
      </c>
      <c r="D86" s="23">
        <f t="shared" si="32"/>
        <v>324.8524160191127</v>
      </c>
      <c r="E86" s="23">
        <f t="shared" si="33"/>
        <v>130.71563824795345</v>
      </c>
      <c r="F86" s="24">
        <f t="shared" si="34"/>
        <v>0</v>
      </c>
      <c r="G86" s="23">
        <f t="shared" si="35"/>
        <v>0</v>
      </c>
      <c r="H86" s="24"/>
      <c r="I86" s="23">
        <f t="shared" si="36"/>
        <v>0</v>
      </c>
      <c r="J86" s="23">
        <f t="shared" si="37"/>
        <v>130.71563824795345</v>
      </c>
      <c r="K86" s="23">
        <f t="shared" si="38"/>
        <v>74121.265166120618</v>
      </c>
      <c r="L86" s="23">
        <f t="shared" si="39"/>
        <v>455.56805426706615</v>
      </c>
      <c r="M86" s="23">
        <f t="shared" si="26"/>
        <v>0</v>
      </c>
      <c r="N86" s="23">
        <f t="shared" si="27"/>
        <v>97.455724805733809</v>
      </c>
      <c r="O86" s="23">
        <f t="shared" si="28"/>
        <v>358.11232946133237</v>
      </c>
      <c r="P86" s="23">
        <f t="shared" si="29"/>
        <v>227.39669121337892</v>
      </c>
      <c r="Q86" s="23">
        <f t="shared" si="40"/>
        <v>108564.37178695681</v>
      </c>
      <c r="R86" s="25">
        <f t="shared" si="41"/>
        <v>2561.2421760547049</v>
      </c>
    </row>
    <row r="87" spans="2:18" x14ac:dyDescent="0.25">
      <c r="B87" s="22">
        <f t="shared" si="30"/>
        <v>76</v>
      </c>
      <c r="C87" s="23">
        <f t="shared" si="31"/>
        <v>74121.265166120618</v>
      </c>
      <c r="D87" s="23">
        <f t="shared" si="32"/>
        <v>324.28053510177779</v>
      </c>
      <c r="E87" s="23">
        <f t="shared" si="33"/>
        <v>131.28751916528827</v>
      </c>
      <c r="F87" s="24">
        <f t="shared" si="34"/>
        <v>0</v>
      </c>
      <c r="G87" s="23">
        <f t="shared" si="35"/>
        <v>0</v>
      </c>
      <c r="H87" s="24"/>
      <c r="I87" s="23">
        <f t="shared" si="36"/>
        <v>0</v>
      </c>
      <c r="J87" s="23">
        <f t="shared" si="37"/>
        <v>131.28751916528827</v>
      </c>
      <c r="K87" s="23">
        <f t="shared" si="38"/>
        <v>73989.977646955333</v>
      </c>
      <c r="L87" s="23">
        <f t="shared" si="39"/>
        <v>455.56805426706603</v>
      </c>
      <c r="M87" s="23">
        <f t="shared" si="26"/>
        <v>0</v>
      </c>
      <c r="N87" s="23">
        <f t="shared" si="27"/>
        <v>97.284160530533327</v>
      </c>
      <c r="O87" s="23">
        <f t="shared" si="28"/>
        <v>358.28389373653272</v>
      </c>
      <c r="P87" s="23">
        <f t="shared" si="29"/>
        <v>226.99637457124444</v>
      </c>
      <c r="Q87" s="23">
        <f t="shared" si="40"/>
        <v>108564.37178695681</v>
      </c>
      <c r="R87" s="25">
        <f t="shared" si="41"/>
        <v>2561.2421760547049</v>
      </c>
    </row>
    <row r="88" spans="2:18" x14ac:dyDescent="0.25">
      <c r="B88" s="22">
        <f t="shared" si="30"/>
        <v>77</v>
      </c>
      <c r="C88" s="23">
        <f t="shared" si="31"/>
        <v>73989.977646955333</v>
      </c>
      <c r="D88" s="23">
        <f t="shared" si="32"/>
        <v>323.70615220542976</v>
      </c>
      <c r="E88" s="23">
        <f t="shared" si="33"/>
        <v>131.86190206163639</v>
      </c>
      <c r="F88" s="24">
        <f t="shared" si="34"/>
        <v>0</v>
      </c>
      <c r="G88" s="23">
        <f t="shared" si="35"/>
        <v>0</v>
      </c>
      <c r="H88" s="24"/>
      <c r="I88" s="23">
        <f t="shared" si="36"/>
        <v>0</v>
      </c>
      <c r="J88" s="23">
        <f t="shared" si="37"/>
        <v>131.86190206163639</v>
      </c>
      <c r="K88" s="23">
        <f t="shared" si="38"/>
        <v>73858.115744893701</v>
      </c>
      <c r="L88" s="23">
        <f t="shared" si="39"/>
        <v>455.56805426706615</v>
      </c>
      <c r="M88" s="23">
        <f t="shared" si="26"/>
        <v>0</v>
      </c>
      <c r="N88" s="23">
        <f t="shared" si="27"/>
        <v>97.111845661628919</v>
      </c>
      <c r="O88" s="23">
        <f t="shared" si="28"/>
        <v>358.45620860543721</v>
      </c>
      <c r="P88" s="23">
        <f t="shared" si="29"/>
        <v>226.59430654380083</v>
      </c>
      <c r="Q88" s="23">
        <f t="shared" si="40"/>
        <v>108564.37178695681</v>
      </c>
      <c r="R88" s="25">
        <f t="shared" si="41"/>
        <v>2561.2421760547049</v>
      </c>
    </row>
    <row r="89" spans="2:18" x14ac:dyDescent="0.25">
      <c r="B89" s="22">
        <f t="shared" si="30"/>
        <v>78</v>
      </c>
      <c r="C89" s="23">
        <f t="shared" si="31"/>
        <v>73858.115744893701</v>
      </c>
      <c r="D89" s="23">
        <f t="shared" si="32"/>
        <v>323.1292563839101</v>
      </c>
      <c r="E89" s="23">
        <f t="shared" si="33"/>
        <v>132.43879788315607</v>
      </c>
      <c r="F89" s="24">
        <f t="shared" si="34"/>
        <v>0</v>
      </c>
      <c r="G89" s="23">
        <f t="shared" si="35"/>
        <v>0</v>
      </c>
      <c r="H89" s="24"/>
      <c r="I89" s="23">
        <f t="shared" si="36"/>
        <v>0</v>
      </c>
      <c r="J89" s="23">
        <f t="shared" si="37"/>
        <v>132.43879788315607</v>
      </c>
      <c r="K89" s="23">
        <f t="shared" si="38"/>
        <v>73725.67694701055</v>
      </c>
      <c r="L89" s="23">
        <f t="shared" si="39"/>
        <v>455.56805426706615</v>
      </c>
      <c r="M89" s="23">
        <f t="shared" si="26"/>
        <v>0</v>
      </c>
      <c r="N89" s="23">
        <f t="shared" si="27"/>
        <v>96.938776915173023</v>
      </c>
      <c r="O89" s="23">
        <f t="shared" si="28"/>
        <v>358.62927735189311</v>
      </c>
      <c r="P89" s="23">
        <f t="shared" si="29"/>
        <v>226.19047946873704</v>
      </c>
      <c r="Q89" s="23">
        <f t="shared" si="40"/>
        <v>108564.37178695681</v>
      </c>
      <c r="R89" s="25">
        <f t="shared" si="41"/>
        <v>2561.2421760547049</v>
      </c>
    </row>
    <row r="90" spans="2:18" x14ac:dyDescent="0.25">
      <c r="B90" s="22">
        <f t="shared" si="30"/>
        <v>79</v>
      </c>
      <c r="C90" s="23">
        <f t="shared" si="31"/>
        <v>73725.67694701055</v>
      </c>
      <c r="D90" s="23">
        <f t="shared" si="32"/>
        <v>322.54983664317126</v>
      </c>
      <c r="E90" s="23">
        <f t="shared" si="33"/>
        <v>133.01821762389486</v>
      </c>
      <c r="F90" s="24">
        <f t="shared" si="34"/>
        <v>0</v>
      </c>
      <c r="G90" s="23">
        <f t="shared" si="35"/>
        <v>0</v>
      </c>
      <c r="H90" s="24"/>
      <c r="I90" s="23">
        <f t="shared" si="36"/>
        <v>0</v>
      </c>
      <c r="J90" s="23">
        <f t="shared" si="37"/>
        <v>133.01821762389486</v>
      </c>
      <c r="K90" s="23">
        <f t="shared" si="38"/>
        <v>73592.658729386661</v>
      </c>
      <c r="L90" s="23">
        <f t="shared" si="39"/>
        <v>455.56805426706615</v>
      </c>
      <c r="M90" s="23">
        <f t="shared" si="26"/>
        <v>0</v>
      </c>
      <c r="N90" s="23">
        <f t="shared" si="27"/>
        <v>96.76495099295137</v>
      </c>
      <c r="O90" s="23">
        <f t="shared" si="28"/>
        <v>358.80310327411479</v>
      </c>
      <c r="P90" s="23">
        <f t="shared" si="29"/>
        <v>225.78488565021993</v>
      </c>
      <c r="Q90" s="23">
        <f t="shared" si="40"/>
        <v>108564.37178695681</v>
      </c>
      <c r="R90" s="25">
        <f t="shared" si="41"/>
        <v>2561.2421760547049</v>
      </c>
    </row>
    <row r="91" spans="2:18" x14ac:dyDescent="0.25">
      <c r="B91" s="22">
        <f t="shared" si="30"/>
        <v>80</v>
      </c>
      <c r="C91" s="23">
        <f t="shared" si="31"/>
        <v>73592.658729386661</v>
      </c>
      <c r="D91" s="23">
        <f t="shared" si="32"/>
        <v>321.96788194106676</v>
      </c>
      <c r="E91" s="23">
        <f t="shared" si="33"/>
        <v>133.60017232599938</v>
      </c>
      <c r="F91" s="24">
        <f t="shared" si="34"/>
        <v>0</v>
      </c>
      <c r="G91" s="23">
        <f t="shared" si="35"/>
        <v>0</v>
      </c>
      <c r="H91" s="24"/>
      <c r="I91" s="23">
        <f t="shared" si="36"/>
        <v>0</v>
      </c>
      <c r="J91" s="23">
        <f t="shared" si="37"/>
        <v>133.60017232599938</v>
      </c>
      <c r="K91" s="23">
        <f t="shared" si="38"/>
        <v>73459.058557060664</v>
      </c>
      <c r="L91" s="23">
        <f t="shared" si="39"/>
        <v>455.56805426706615</v>
      </c>
      <c r="M91" s="23">
        <f t="shared" si="26"/>
        <v>0</v>
      </c>
      <c r="N91" s="23">
        <f t="shared" si="27"/>
        <v>96.590364582320021</v>
      </c>
      <c r="O91" s="23">
        <f t="shared" si="28"/>
        <v>358.97768968474611</v>
      </c>
      <c r="P91" s="23">
        <f t="shared" si="29"/>
        <v>225.37751735874673</v>
      </c>
      <c r="Q91" s="23">
        <f t="shared" si="40"/>
        <v>108564.37178695681</v>
      </c>
      <c r="R91" s="25">
        <f t="shared" si="41"/>
        <v>2561.2421760547049</v>
      </c>
    </row>
    <row r="92" spans="2:18" x14ac:dyDescent="0.25">
      <c r="B92" s="22">
        <f t="shared" si="30"/>
        <v>81</v>
      </c>
      <c r="C92" s="23">
        <f t="shared" si="31"/>
        <v>73459.058557060664</v>
      </c>
      <c r="D92" s="23">
        <f t="shared" si="32"/>
        <v>321.38338118714051</v>
      </c>
      <c r="E92" s="23">
        <f t="shared" si="33"/>
        <v>134.18467307992563</v>
      </c>
      <c r="F92" s="24">
        <f t="shared" si="34"/>
        <v>0</v>
      </c>
      <c r="G92" s="23">
        <f t="shared" si="35"/>
        <v>0</v>
      </c>
      <c r="H92" s="24"/>
      <c r="I92" s="23">
        <f t="shared" si="36"/>
        <v>0</v>
      </c>
      <c r="J92" s="23">
        <f t="shared" si="37"/>
        <v>134.18467307992563</v>
      </c>
      <c r="K92" s="23">
        <f t="shared" si="38"/>
        <v>73324.873883980734</v>
      </c>
      <c r="L92" s="23">
        <f t="shared" si="39"/>
        <v>455.56805426706615</v>
      </c>
      <c r="M92" s="23">
        <f t="shared" si="26"/>
        <v>0</v>
      </c>
      <c r="N92" s="23">
        <f t="shared" si="27"/>
        <v>96.415014356142152</v>
      </c>
      <c r="O92" s="23">
        <f t="shared" si="28"/>
        <v>359.15303991092401</v>
      </c>
      <c r="P92" s="23">
        <f t="shared" si="29"/>
        <v>224.96836683099838</v>
      </c>
      <c r="Q92" s="23">
        <f t="shared" si="40"/>
        <v>108564.37178695681</v>
      </c>
      <c r="R92" s="25">
        <f t="shared" si="41"/>
        <v>2561.2421760547049</v>
      </c>
    </row>
    <row r="93" spans="2:18" x14ac:dyDescent="0.25">
      <c r="B93" s="22">
        <f t="shared" si="30"/>
        <v>82</v>
      </c>
      <c r="C93" s="23">
        <f t="shared" si="31"/>
        <v>73324.873883980734</v>
      </c>
      <c r="D93" s="23">
        <f t="shared" si="32"/>
        <v>320.79632324241578</v>
      </c>
      <c r="E93" s="23">
        <f t="shared" si="33"/>
        <v>134.77173102465031</v>
      </c>
      <c r="F93" s="24">
        <f t="shared" si="34"/>
        <v>0</v>
      </c>
      <c r="G93" s="23">
        <f t="shared" si="35"/>
        <v>0</v>
      </c>
      <c r="H93" s="24"/>
      <c r="I93" s="23">
        <f t="shared" si="36"/>
        <v>0</v>
      </c>
      <c r="J93" s="23">
        <f t="shared" si="37"/>
        <v>134.77173102465031</v>
      </c>
      <c r="K93" s="23">
        <f t="shared" si="38"/>
        <v>73190.102152956082</v>
      </c>
      <c r="L93" s="23">
        <f t="shared" si="39"/>
        <v>455.56805426706609</v>
      </c>
      <c r="M93" s="23">
        <f t="shared" si="26"/>
        <v>0</v>
      </c>
      <c r="N93" s="23">
        <f t="shared" si="27"/>
        <v>96.238896972724731</v>
      </c>
      <c r="O93" s="23">
        <f t="shared" si="28"/>
        <v>359.32915729434137</v>
      </c>
      <c r="P93" s="23">
        <f t="shared" si="29"/>
        <v>224.55742626969106</v>
      </c>
      <c r="Q93" s="23">
        <f t="shared" si="40"/>
        <v>108564.37178695681</v>
      </c>
      <c r="R93" s="25">
        <f t="shared" si="41"/>
        <v>2561.2421760547049</v>
      </c>
    </row>
    <row r="94" spans="2:18" x14ac:dyDescent="0.25">
      <c r="B94" s="22">
        <f t="shared" si="30"/>
        <v>83</v>
      </c>
      <c r="C94" s="23">
        <f t="shared" si="31"/>
        <v>73190.102152956082</v>
      </c>
      <c r="D94" s="23">
        <f t="shared" si="32"/>
        <v>320.206696919183</v>
      </c>
      <c r="E94" s="23">
        <f t="shared" si="33"/>
        <v>135.36135734788314</v>
      </c>
      <c r="F94" s="24">
        <f t="shared" si="34"/>
        <v>0</v>
      </c>
      <c r="G94" s="23">
        <f t="shared" si="35"/>
        <v>0</v>
      </c>
      <c r="H94" s="24"/>
      <c r="I94" s="23">
        <f t="shared" si="36"/>
        <v>0</v>
      </c>
      <c r="J94" s="23">
        <f t="shared" si="37"/>
        <v>135.36135734788314</v>
      </c>
      <c r="K94" s="23">
        <f t="shared" si="38"/>
        <v>73054.740795608202</v>
      </c>
      <c r="L94" s="23">
        <f t="shared" si="39"/>
        <v>455.56805426706615</v>
      </c>
      <c r="M94" s="23">
        <f t="shared" si="26"/>
        <v>0</v>
      </c>
      <c r="N94" s="23">
        <f t="shared" si="27"/>
        <v>96.062009075754901</v>
      </c>
      <c r="O94" s="23">
        <f t="shared" si="28"/>
        <v>359.50604519131127</v>
      </c>
      <c r="P94" s="23">
        <f t="shared" si="29"/>
        <v>224.14468784342813</v>
      </c>
      <c r="Q94" s="23">
        <f t="shared" si="40"/>
        <v>108564.37178695681</v>
      </c>
      <c r="R94" s="25">
        <f t="shared" si="41"/>
        <v>2561.2421760547049</v>
      </c>
    </row>
    <row r="95" spans="2:18" x14ac:dyDescent="0.25">
      <c r="B95" s="22">
        <f t="shared" si="30"/>
        <v>84</v>
      </c>
      <c r="C95" s="23">
        <f t="shared" si="31"/>
        <v>73054.740795608202</v>
      </c>
      <c r="D95" s="23">
        <f t="shared" si="32"/>
        <v>319.614490980786</v>
      </c>
      <c r="E95" s="23">
        <f t="shared" si="33"/>
        <v>135.95356328628017</v>
      </c>
      <c r="F95" s="24">
        <f t="shared" si="34"/>
        <v>0</v>
      </c>
      <c r="G95" s="23">
        <f t="shared" si="35"/>
        <v>0</v>
      </c>
      <c r="H95" s="24"/>
      <c r="I95" s="23">
        <f t="shared" si="36"/>
        <v>0</v>
      </c>
      <c r="J95" s="23">
        <f t="shared" si="37"/>
        <v>135.95356328628017</v>
      </c>
      <c r="K95" s="23">
        <f t="shared" si="38"/>
        <v>72918.78723232192</v>
      </c>
      <c r="L95" s="23">
        <f t="shared" si="39"/>
        <v>455.56805426706615</v>
      </c>
      <c r="M95" s="23">
        <f t="shared" si="26"/>
        <v>0</v>
      </c>
      <c r="N95" s="23">
        <f t="shared" si="27"/>
        <v>95.884347294235795</v>
      </c>
      <c r="O95" s="23">
        <f t="shared" si="28"/>
        <v>359.68370697283035</v>
      </c>
      <c r="P95" s="23">
        <f t="shared" si="29"/>
        <v>223.73014368655018</v>
      </c>
      <c r="Q95" s="23">
        <f t="shared" si="40"/>
        <v>108564.37178695681</v>
      </c>
      <c r="R95" s="25">
        <f t="shared" si="41"/>
        <v>2561.2421760547049</v>
      </c>
    </row>
    <row r="96" spans="2:18" x14ac:dyDescent="0.25">
      <c r="B96" s="22">
        <f t="shared" si="30"/>
        <v>85</v>
      </c>
      <c r="C96" s="23">
        <f t="shared" si="31"/>
        <v>72918.78723232192</v>
      </c>
      <c r="D96" s="23">
        <f t="shared" si="32"/>
        <v>319.01969414140848</v>
      </c>
      <c r="E96" s="23">
        <f t="shared" si="33"/>
        <v>136.54836012565764</v>
      </c>
      <c r="F96" s="24">
        <f t="shared" si="34"/>
        <v>0</v>
      </c>
      <c r="G96" s="23">
        <f t="shared" si="35"/>
        <v>0</v>
      </c>
      <c r="H96" s="24"/>
      <c r="I96" s="23">
        <f t="shared" si="36"/>
        <v>0</v>
      </c>
      <c r="J96" s="23">
        <f t="shared" si="37"/>
        <v>136.54836012565764</v>
      </c>
      <c r="K96" s="23">
        <f t="shared" si="38"/>
        <v>72782.238872196263</v>
      </c>
      <c r="L96" s="23">
        <f t="shared" si="39"/>
        <v>455.56805426706615</v>
      </c>
      <c r="M96" s="23">
        <f t="shared" si="26"/>
        <v>0</v>
      </c>
      <c r="N96" s="23">
        <f t="shared" si="27"/>
        <v>95.705908242422538</v>
      </c>
      <c r="O96" s="23">
        <f t="shared" si="28"/>
        <v>359.86214602464361</v>
      </c>
      <c r="P96" s="23">
        <f t="shared" si="29"/>
        <v>223.31378589898597</v>
      </c>
      <c r="Q96" s="23">
        <f t="shared" ref="Q96:Q107" si="42">$Q$95+ $Q$95*$L$8</f>
        <v>112906.94665843507</v>
      </c>
      <c r="R96" s="25">
        <f>$R$95 + ($R$95 * $S$5)</f>
        <v>2638.079441336346</v>
      </c>
    </row>
    <row r="97" spans="2:18" x14ac:dyDescent="0.25">
      <c r="B97" s="22">
        <f t="shared" si="30"/>
        <v>86</v>
      </c>
      <c r="C97" s="23">
        <f t="shared" si="31"/>
        <v>72782.238872196263</v>
      </c>
      <c r="D97" s="23">
        <f t="shared" si="32"/>
        <v>318.42229506585875</v>
      </c>
      <c r="E97" s="23">
        <f t="shared" si="33"/>
        <v>137.14575920120737</v>
      </c>
      <c r="F97" s="24">
        <f t="shared" si="34"/>
        <v>0</v>
      </c>
      <c r="G97" s="23">
        <f t="shared" si="35"/>
        <v>0</v>
      </c>
      <c r="H97" s="24"/>
      <c r="I97" s="23">
        <f t="shared" si="36"/>
        <v>0</v>
      </c>
      <c r="J97" s="23">
        <f t="shared" si="37"/>
        <v>137.14575920120737</v>
      </c>
      <c r="K97" s="23">
        <f t="shared" si="38"/>
        <v>72645.093112995062</v>
      </c>
      <c r="L97" s="23">
        <f t="shared" si="39"/>
        <v>455.56805426706615</v>
      </c>
      <c r="M97" s="23">
        <f t="shared" si="26"/>
        <v>0</v>
      </c>
      <c r="N97" s="23">
        <f t="shared" si="27"/>
        <v>95.526688519757627</v>
      </c>
      <c r="O97" s="23">
        <f t="shared" si="28"/>
        <v>360.04136574730853</v>
      </c>
      <c r="P97" s="23">
        <f t="shared" si="29"/>
        <v>222.89560654610116</v>
      </c>
      <c r="Q97" s="23">
        <f t="shared" si="42"/>
        <v>112906.94665843507</v>
      </c>
      <c r="R97" s="25">
        <f t="shared" ref="R97:R107" si="43">$R$95 + ($R$95 * $S$5)</f>
        <v>2638.079441336346</v>
      </c>
    </row>
    <row r="98" spans="2:18" x14ac:dyDescent="0.25">
      <c r="B98" s="22">
        <f t="shared" si="30"/>
        <v>87</v>
      </c>
      <c r="C98" s="23">
        <f t="shared" si="31"/>
        <v>72645.093112995062</v>
      </c>
      <c r="D98" s="23">
        <f t="shared" si="32"/>
        <v>317.82228236935345</v>
      </c>
      <c r="E98" s="23">
        <f t="shared" si="33"/>
        <v>137.74577189771267</v>
      </c>
      <c r="F98" s="24">
        <f t="shared" si="34"/>
        <v>0</v>
      </c>
      <c r="G98" s="23">
        <f t="shared" si="35"/>
        <v>0</v>
      </c>
      <c r="H98" s="24"/>
      <c r="I98" s="23">
        <f t="shared" si="36"/>
        <v>0</v>
      </c>
      <c r="J98" s="23">
        <f t="shared" si="37"/>
        <v>137.74577189771267</v>
      </c>
      <c r="K98" s="23">
        <f t="shared" si="38"/>
        <v>72507.347341097353</v>
      </c>
      <c r="L98" s="23">
        <f t="shared" si="39"/>
        <v>455.56805426706615</v>
      </c>
      <c r="M98" s="23">
        <f t="shared" si="26"/>
        <v>0</v>
      </c>
      <c r="N98" s="23">
        <f t="shared" si="27"/>
        <v>95.346684710806031</v>
      </c>
      <c r="O98" s="23">
        <f t="shared" si="28"/>
        <v>360.22136955626013</v>
      </c>
      <c r="P98" s="23">
        <f t="shared" si="29"/>
        <v>222.47559765854746</v>
      </c>
      <c r="Q98" s="23">
        <f t="shared" si="42"/>
        <v>112906.94665843507</v>
      </c>
      <c r="R98" s="25">
        <f t="shared" si="43"/>
        <v>2638.079441336346</v>
      </c>
    </row>
    <row r="99" spans="2:18" x14ac:dyDescent="0.25">
      <c r="B99" s="22">
        <f t="shared" si="30"/>
        <v>88</v>
      </c>
      <c r="C99" s="23">
        <f t="shared" si="31"/>
        <v>72507.347341097353</v>
      </c>
      <c r="D99" s="23">
        <f t="shared" si="32"/>
        <v>317.21964461730096</v>
      </c>
      <c r="E99" s="23">
        <f t="shared" si="33"/>
        <v>138.34840964976513</v>
      </c>
      <c r="F99" s="24">
        <f t="shared" si="34"/>
        <v>0</v>
      </c>
      <c r="G99" s="23">
        <f t="shared" si="35"/>
        <v>0</v>
      </c>
      <c r="H99" s="24"/>
      <c r="I99" s="23">
        <f t="shared" si="36"/>
        <v>0</v>
      </c>
      <c r="J99" s="23">
        <f t="shared" si="37"/>
        <v>138.34840964976513</v>
      </c>
      <c r="K99" s="23">
        <f t="shared" si="38"/>
        <v>72368.998931447582</v>
      </c>
      <c r="L99" s="23">
        <f t="shared" si="39"/>
        <v>455.56805426706609</v>
      </c>
      <c r="M99" s="23">
        <f t="shared" si="26"/>
        <v>0</v>
      </c>
      <c r="N99" s="23">
        <f t="shared" si="27"/>
        <v>95.165893385190287</v>
      </c>
      <c r="O99" s="23">
        <f t="shared" si="28"/>
        <v>360.40216088187583</v>
      </c>
      <c r="P99" s="23">
        <f t="shared" si="29"/>
        <v>222.0537512321107</v>
      </c>
      <c r="Q99" s="23">
        <f t="shared" si="42"/>
        <v>112906.94665843507</v>
      </c>
      <c r="R99" s="25">
        <f t="shared" si="43"/>
        <v>2638.079441336346</v>
      </c>
    </row>
    <row r="100" spans="2:18" x14ac:dyDescent="0.25">
      <c r="B100" s="22">
        <f t="shared" si="30"/>
        <v>89</v>
      </c>
      <c r="C100" s="23">
        <f t="shared" si="31"/>
        <v>72368.998931447582</v>
      </c>
      <c r="D100" s="23">
        <f t="shared" si="32"/>
        <v>316.61437032508326</v>
      </c>
      <c r="E100" s="23">
        <f t="shared" si="33"/>
        <v>138.95368394198286</v>
      </c>
      <c r="F100" s="24">
        <f t="shared" si="34"/>
        <v>0</v>
      </c>
      <c r="G100" s="23">
        <f t="shared" si="35"/>
        <v>0</v>
      </c>
      <c r="H100" s="24"/>
      <c r="I100" s="23">
        <f t="shared" si="36"/>
        <v>0</v>
      </c>
      <c r="J100" s="23">
        <f t="shared" si="37"/>
        <v>138.95368394198286</v>
      </c>
      <c r="K100" s="23">
        <f t="shared" si="38"/>
        <v>72230.045247505594</v>
      </c>
      <c r="L100" s="23">
        <f t="shared" si="39"/>
        <v>455.56805426706615</v>
      </c>
      <c r="M100" s="23">
        <f t="shared" si="26"/>
        <v>0</v>
      </c>
      <c r="N100" s="23">
        <f t="shared" si="27"/>
        <v>94.98431109752498</v>
      </c>
      <c r="O100" s="23">
        <f t="shared" si="28"/>
        <v>360.58374316954115</v>
      </c>
      <c r="P100" s="23">
        <f t="shared" si="29"/>
        <v>221.63005922755829</v>
      </c>
      <c r="Q100" s="23">
        <f t="shared" si="42"/>
        <v>112906.94665843507</v>
      </c>
      <c r="R100" s="25">
        <f t="shared" si="43"/>
        <v>2638.079441336346</v>
      </c>
    </row>
    <row r="101" spans="2:18" x14ac:dyDescent="0.25">
      <c r="B101" s="22">
        <f t="shared" si="30"/>
        <v>90</v>
      </c>
      <c r="C101" s="23">
        <f t="shared" si="31"/>
        <v>72230.045247505594</v>
      </c>
      <c r="D101" s="23">
        <f t="shared" si="32"/>
        <v>316.00644795783705</v>
      </c>
      <c r="E101" s="23">
        <f t="shared" si="33"/>
        <v>139.56160630922906</v>
      </c>
      <c r="F101" s="24">
        <f t="shared" si="34"/>
        <v>0</v>
      </c>
      <c r="G101" s="23">
        <f t="shared" si="35"/>
        <v>0</v>
      </c>
      <c r="H101" s="24"/>
      <c r="I101" s="23">
        <f t="shared" si="36"/>
        <v>0</v>
      </c>
      <c r="J101" s="23">
        <f t="shared" si="37"/>
        <v>139.56160630922906</v>
      </c>
      <c r="K101" s="23">
        <f t="shared" si="38"/>
        <v>72090.483641196362</v>
      </c>
      <c r="L101" s="23">
        <f t="shared" si="39"/>
        <v>455.56805426706615</v>
      </c>
      <c r="M101" s="23">
        <f t="shared" si="26"/>
        <v>0</v>
      </c>
      <c r="N101" s="23">
        <f t="shared" si="27"/>
        <v>94.80193438735111</v>
      </c>
      <c r="O101" s="23">
        <f t="shared" si="28"/>
        <v>360.76611987971501</v>
      </c>
      <c r="P101" s="23">
        <f t="shared" si="29"/>
        <v>221.20451357048594</v>
      </c>
      <c r="Q101" s="23">
        <f t="shared" si="42"/>
        <v>112906.94665843507</v>
      </c>
      <c r="R101" s="25">
        <f t="shared" si="43"/>
        <v>2638.079441336346</v>
      </c>
    </row>
    <row r="102" spans="2:18" x14ac:dyDescent="0.25">
      <c r="B102" s="22">
        <f t="shared" si="30"/>
        <v>91</v>
      </c>
      <c r="C102" s="23">
        <f t="shared" si="31"/>
        <v>72090.483641196362</v>
      </c>
      <c r="D102" s="23">
        <f t="shared" si="32"/>
        <v>315.39586593023421</v>
      </c>
      <c r="E102" s="23">
        <f t="shared" si="33"/>
        <v>140.17218833683194</v>
      </c>
      <c r="F102" s="24">
        <f t="shared" si="34"/>
        <v>0</v>
      </c>
      <c r="G102" s="23">
        <f t="shared" si="35"/>
        <v>0</v>
      </c>
      <c r="H102" s="24"/>
      <c r="I102" s="23">
        <f t="shared" si="36"/>
        <v>0</v>
      </c>
      <c r="J102" s="23">
        <f t="shared" si="37"/>
        <v>140.17218833683194</v>
      </c>
      <c r="K102" s="23">
        <f t="shared" si="38"/>
        <v>71950.311452859532</v>
      </c>
      <c r="L102" s="23">
        <f t="shared" si="39"/>
        <v>455.56805426706615</v>
      </c>
      <c r="M102" s="23">
        <f t="shared" si="26"/>
        <v>0</v>
      </c>
      <c r="N102" s="23">
        <f t="shared" si="27"/>
        <v>94.61875977907026</v>
      </c>
      <c r="O102" s="23">
        <f t="shared" si="28"/>
        <v>360.94929448799587</v>
      </c>
      <c r="P102" s="23">
        <f t="shared" si="29"/>
        <v>220.77710615116393</v>
      </c>
      <c r="Q102" s="23">
        <f t="shared" si="42"/>
        <v>112906.94665843507</v>
      </c>
      <c r="R102" s="25">
        <f t="shared" si="43"/>
        <v>2638.079441336346</v>
      </c>
    </row>
    <row r="103" spans="2:18" x14ac:dyDescent="0.25">
      <c r="B103" s="22">
        <f t="shared" si="30"/>
        <v>92</v>
      </c>
      <c r="C103" s="23">
        <f t="shared" si="31"/>
        <v>71950.311452859532</v>
      </c>
      <c r="D103" s="23">
        <f t="shared" si="32"/>
        <v>314.78261260626061</v>
      </c>
      <c r="E103" s="23">
        <f t="shared" si="33"/>
        <v>140.78544166080556</v>
      </c>
      <c r="F103" s="24">
        <f t="shared" si="34"/>
        <v>0</v>
      </c>
      <c r="G103" s="23">
        <f t="shared" si="35"/>
        <v>0</v>
      </c>
      <c r="H103" s="24"/>
      <c r="I103" s="23">
        <f t="shared" si="36"/>
        <v>0</v>
      </c>
      <c r="J103" s="23">
        <f t="shared" si="37"/>
        <v>140.78544166080556</v>
      </c>
      <c r="K103" s="23">
        <f t="shared" si="38"/>
        <v>71809.52601119873</v>
      </c>
      <c r="L103" s="23">
        <f t="shared" si="39"/>
        <v>455.56805426706615</v>
      </c>
      <c r="M103" s="23">
        <f t="shared" si="26"/>
        <v>0</v>
      </c>
      <c r="N103" s="23">
        <f t="shared" si="27"/>
        <v>94.434783781878181</v>
      </c>
      <c r="O103" s="23">
        <f t="shared" si="28"/>
        <v>361.13327048518795</v>
      </c>
      <c r="P103" s="23">
        <f t="shared" si="29"/>
        <v>220.34782882438239</v>
      </c>
      <c r="Q103" s="23">
        <f t="shared" si="42"/>
        <v>112906.94665843507</v>
      </c>
      <c r="R103" s="25">
        <f t="shared" si="43"/>
        <v>2638.079441336346</v>
      </c>
    </row>
    <row r="104" spans="2:18" x14ac:dyDescent="0.25">
      <c r="B104" s="22">
        <f t="shared" si="30"/>
        <v>93</v>
      </c>
      <c r="C104" s="23">
        <f t="shared" si="31"/>
        <v>71809.52601119873</v>
      </c>
      <c r="D104" s="23">
        <f t="shared" si="32"/>
        <v>314.16667629899456</v>
      </c>
      <c r="E104" s="23">
        <f t="shared" si="33"/>
        <v>141.40137796807161</v>
      </c>
      <c r="F104" s="24">
        <f t="shared" si="34"/>
        <v>0</v>
      </c>
      <c r="G104" s="23">
        <f t="shared" si="35"/>
        <v>0</v>
      </c>
      <c r="H104" s="24"/>
      <c r="I104" s="23">
        <f t="shared" si="36"/>
        <v>0</v>
      </c>
      <c r="J104" s="23">
        <f t="shared" si="37"/>
        <v>141.40137796807161</v>
      </c>
      <c r="K104" s="23">
        <f t="shared" si="38"/>
        <v>71668.124633230662</v>
      </c>
      <c r="L104" s="23">
        <f t="shared" si="39"/>
        <v>455.56805426706615</v>
      </c>
      <c r="M104" s="23">
        <f t="shared" si="26"/>
        <v>0</v>
      </c>
      <c r="N104" s="23">
        <f t="shared" si="27"/>
        <v>94.250002889698365</v>
      </c>
      <c r="O104" s="23">
        <f t="shared" si="28"/>
        <v>361.31805137736779</v>
      </c>
      <c r="P104" s="23">
        <f t="shared" si="29"/>
        <v>219.91667340929618</v>
      </c>
      <c r="Q104" s="23">
        <f t="shared" si="42"/>
        <v>112906.94665843507</v>
      </c>
      <c r="R104" s="25">
        <f t="shared" si="43"/>
        <v>2638.079441336346</v>
      </c>
    </row>
    <row r="105" spans="2:18" x14ac:dyDescent="0.25">
      <c r="B105" s="22">
        <f t="shared" si="30"/>
        <v>94</v>
      </c>
      <c r="C105" s="23">
        <f t="shared" si="31"/>
        <v>71668.124633230662</v>
      </c>
      <c r="D105" s="23">
        <f t="shared" si="32"/>
        <v>313.54804527038425</v>
      </c>
      <c r="E105" s="23">
        <f t="shared" si="33"/>
        <v>142.0200089966819</v>
      </c>
      <c r="F105" s="24">
        <f t="shared" si="34"/>
        <v>0</v>
      </c>
      <c r="G105" s="23">
        <f t="shared" si="35"/>
        <v>0</v>
      </c>
      <c r="H105" s="24"/>
      <c r="I105" s="23">
        <f t="shared" si="36"/>
        <v>0</v>
      </c>
      <c r="J105" s="23">
        <f t="shared" si="37"/>
        <v>142.0200089966819</v>
      </c>
      <c r="K105" s="23">
        <f t="shared" si="38"/>
        <v>71526.10462423398</v>
      </c>
      <c r="L105" s="23">
        <f t="shared" si="39"/>
        <v>455.56805426706615</v>
      </c>
      <c r="M105" s="23">
        <f t="shared" si="26"/>
        <v>0</v>
      </c>
      <c r="N105" s="23">
        <f t="shared" si="27"/>
        <v>94.064413581115275</v>
      </c>
      <c r="O105" s="23">
        <f t="shared" si="28"/>
        <v>361.50364068595087</v>
      </c>
      <c r="P105" s="23">
        <f t="shared" si="29"/>
        <v>219.48363168926898</v>
      </c>
      <c r="Q105" s="23">
        <f t="shared" si="42"/>
        <v>112906.94665843507</v>
      </c>
      <c r="R105" s="25">
        <f t="shared" si="43"/>
        <v>2638.079441336346</v>
      </c>
    </row>
    <row r="106" spans="2:18" x14ac:dyDescent="0.25">
      <c r="B106" s="22">
        <f t="shared" si="30"/>
        <v>95</v>
      </c>
      <c r="C106" s="23">
        <f t="shared" si="31"/>
        <v>71526.10462423398</v>
      </c>
      <c r="D106" s="23">
        <f t="shared" si="32"/>
        <v>312.92670773102378</v>
      </c>
      <c r="E106" s="23">
        <f t="shared" si="33"/>
        <v>142.64134653604239</v>
      </c>
      <c r="F106" s="24">
        <f t="shared" si="34"/>
        <v>0</v>
      </c>
      <c r="G106" s="23">
        <f t="shared" si="35"/>
        <v>0</v>
      </c>
      <c r="H106" s="24"/>
      <c r="I106" s="23">
        <f t="shared" si="36"/>
        <v>0</v>
      </c>
      <c r="J106" s="23">
        <f t="shared" si="37"/>
        <v>142.64134653604239</v>
      </c>
      <c r="K106" s="23">
        <f t="shared" si="38"/>
        <v>71383.463277697942</v>
      </c>
      <c r="L106" s="23">
        <f t="shared" si="39"/>
        <v>455.56805426706615</v>
      </c>
      <c r="M106" s="23">
        <f t="shared" si="26"/>
        <v>0</v>
      </c>
      <c r="N106" s="23">
        <f t="shared" si="27"/>
        <v>93.878012319307132</v>
      </c>
      <c r="O106" s="23">
        <f t="shared" si="28"/>
        <v>361.69004194775903</v>
      </c>
      <c r="P106" s="23">
        <f t="shared" si="29"/>
        <v>219.04869541171664</v>
      </c>
      <c r="Q106" s="23">
        <f t="shared" si="42"/>
        <v>112906.94665843507</v>
      </c>
      <c r="R106" s="25">
        <f t="shared" si="43"/>
        <v>2638.079441336346</v>
      </c>
    </row>
    <row r="107" spans="2:18" x14ac:dyDescent="0.25">
      <c r="B107" s="22">
        <f t="shared" si="30"/>
        <v>96</v>
      </c>
      <c r="C107" s="23">
        <f t="shared" si="31"/>
        <v>71383.463277697942</v>
      </c>
      <c r="D107" s="23">
        <f t="shared" si="32"/>
        <v>312.30265183992861</v>
      </c>
      <c r="E107" s="23">
        <f t="shared" si="33"/>
        <v>143.26540242713756</v>
      </c>
      <c r="F107" s="24">
        <f t="shared" si="34"/>
        <v>0</v>
      </c>
      <c r="G107" s="23">
        <f t="shared" si="35"/>
        <v>0</v>
      </c>
      <c r="H107" s="24"/>
      <c r="I107" s="23">
        <f t="shared" si="36"/>
        <v>0</v>
      </c>
      <c r="J107" s="23">
        <f t="shared" si="37"/>
        <v>143.26540242713756</v>
      </c>
      <c r="K107" s="23">
        <f t="shared" si="38"/>
        <v>71240.197875270809</v>
      </c>
      <c r="L107" s="23">
        <f t="shared" si="39"/>
        <v>455.56805426706615</v>
      </c>
      <c r="M107" s="23">
        <f t="shared" si="26"/>
        <v>0</v>
      </c>
      <c r="N107" s="23">
        <f t="shared" si="27"/>
        <v>93.690795551978582</v>
      </c>
      <c r="O107" s="23">
        <f t="shared" si="28"/>
        <v>361.87725871508758</v>
      </c>
      <c r="P107" s="23">
        <f t="shared" si="29"/>
        <v>218.61185628795002</v>
      </c>
      <c r="Q107" s="23">
        <f t="shared" si="42"/>
        <v>112906.94665843507</v>
      </c>
      <c r="R107" s="25">
        <f t="shared" si="43"/>
        <v>2638.079441336346</v>
      </c>
    </row>
    <row r="108" spans="2:18" x14ac:dyDescent="0.25">
      <c r="B108" s="22">
        <f t="shared" si="30"/>
        <v>97</v>
      </c>
      <c r="C108" s="23">
        <f t="shared" si="31"/>
        <v>71240.197875270809</v>
      </c>
      <c r="D108" s="23">
        <f t="shared" si="32"/>
        <v>311.67586570430984</v>
      </c>
      <c r="E108" s="23">
        <f t="shared" si="33"/>
        <v>143.8921885627563</v>
      </c>
      <c r="F108" s="24">
        <f t="shared" si="34"/>
        <v>0</v>
      </c>
      <c r="G108" s="23">
        <f t="shared" si="35"/>
        <v>0</v>
      </c>
      <c r="H108" s="24"/>
      <c r="I108" s="23">
        <f t="shared" si="36"/>
        <v>0</v>
      </c>
      <c r="J108" s="23">
        <f t="shared" si="37"/>
        <v>143.8921885627563</v>
      </c>
      <c r="K108" s="23">
        <f t="shared" si="38"/>
        <v>71096.30568670806</v>
      </c>
      <c r="L108" s="23">
        <f t="shared" si="39"/>
        <v>455.56805426706615</v>
      </c>
      <c r="M108" s="23">
        <f t="shared" si="26"/>
        <v>0</v>
      </c>
      <c r="N108" s="23">
        <f t="shared" si="27"/>
        <v>93.502759711292953</v>
      </c>
      <c r="O108" s="23">
        <f t="shared" si="28"/>
        <v>362.06529455577322</v>
      </c>
      <c r="P108" s="23">
        <f t="shared" si="29"/>
        <v>218.17310599301692</v>
      </c>
      <c r="Q108" s="23">
        <f>$Q$107+ $Q$107*$L$8</f>
        <v>117423.22452477248</v>
      </c>
      <c r="R108" s="25">
        <f>$R$107 + ($R$107 * $S$5)</f>
        <v>2717.2218245764366</v>
      </c>
    </row>
    <row r="109" spans="2:18" x14ac:dyDescent="0.25">
      <c r="B109" s="22">
        <f t="shared" si="30"/>
        <v>98</v>
      </c>
      <c r="C109" s="23">
        <f t="shared" si="31"/>
        <v>71096.30568670806</v>
      </c>
      <c r="D109" s="23">
        <f t="shared" si="32"/>
        <v>311.04633737934779</v>
      </c>
      <c r="E109" s="23">
        <f t="shared" si="33"/>
        <v>144.52171688771836</v>
      </c>
      <c r="F109" s="24">
        <f t="shared" si="34"/>
        <v>0</v>
      </c>
      <c r="G109" s="23">
        <f t="shared" si="35"/>
        <v>0</v>
      </c>
      <c r="H109" s="24"/>
      <c r="I109" s="23">
        <f t="shared" si="36"/>
        <v>0</v>
      </c>
      <c r="J109" s="23">
        <f t="shared" si="37"/>
        <v>144.52171688771836</v>
      </c>
      <c r="K109" s="23">
        <f t="shared" si="38"/>
        <v>70951.783969820346</v>
      </c>
      <c r="L109" s="23">
        <f t="shared" si="39"/>
        <v>455.56805426706615</v>
      </c>
      <c r="M109" s="23">
        <f t="shared" si="26"/>
        <v>0</v>
      </c>
      <c r="N109" s="23">
        <f t="shared" si="27"/>
        <v>93.313901213804328</v>
      </c>
      <c r="O109" s="23">
        <f t="shared" si="28"/>
        <v>362.2541530532618</v>
      </c>
      <c r="P109" s="23">
        <f t="shared" si="29"/>
        <v>217.73243616554345</v>
      </c>
      <c r="Q109" s="23">
        <f t="shared" ref="Q109:Q119" si="44">$Q$107+ $Q$107*$L$8</f>
        <v>117423.22452477248</v>
      </c>
      <c r="R109" s="25">
        <f t="shared" ref="R109:R119" si="45">$R$107 + ($R$107 * $S$5)</f>
        <v>2717.2218245764366</v>
      </c>
    </row>
    <row r="110" spans="2:18" x14ac:dyDescent="0.25">
      <c r="B110" s="22">
        <f t="shared" si="30"/>
        <v>99</v>
      </c>
      <c r="C110" s="23">
        <f t="shared" si="31"/>
        <v>70951.783969820346</v>
      </c>
      <c r="D110" s="23">
        <f t="shared" si="32"/>
        <v>310.41405486796396</v>
      </c>
      <c r="E110" s="23">
        <f t="shared" si="33"/>
        <v>145.15399939910213</v>
      </c>
      <c r="F110" s="24">
        <f t="shared" si="34"/>
        <v>0</v>
      </c>
      <c r="G110" s="23">
        <f t="shared" si="35"/>
        <v>0</v>
      </c>
      <c r="H110" s="24"/>
      <c r="I110" s="23">
        <f t="shared" si="36"/>
        <v>0</v>
      </c>
      <c r="J110" s="23">
        <f t="shared" si="37"/>
        <v>145.15399939910213</v>
      </c>
      <c r="K110" s="23">
        <f t="shared" si="38"/>
        <v>70806.629970421243</v>
      </c>
      <c r="L110" s="23">
        <f t="shared" si="39"/>
        <v>455.56805426706609</v>
      </c>
      <c r="M110" s="23">
        <f t="shared" si="26"/>
        <v>0</v>
      </c>
      <c r="N110" s="23">
        <f t="shared" si="27"/>
        <v>93.124216460389178</v>
      </c>
      <c r="O110" s="23">
        <f t="shared" si="28"/>
        <v>362.44383780667692</v>
      </c>
      <c r="P110" s="23">
        <f t="shared" si="29"/>
        <v>217.28983840757479</v>
      </c>
      <c r="Q110" s="23">
        <f t="shared" si="44"/>
        <v>117423.22452477248</v>
      </c>
      <c r="R110" s="25">
        <f t="shared" si="45"/>
        <v>2717.2218245764366</v>
      </c>
    </row>
    <row r="111" spans="2:18" x14ac:dyDescent="0.25">
      <c r="B111" s="22">
        <f t="shared" si="30"/>
        <v>100</v>
      </c>
      <c r="C111" s="23">
        <f t="shared" si="31"/>
        <v>70806.629970421243</v>
      </c>
      <c r="D111" s="23">
        <f t="shared" si="32"/>
        <v>309.7790061205929</v>
      </c>
      <c r="E111" s="23">
        <f t="shared" si="33"/>
        <v>145.78904814647319</v>
      </c>
      <c r="F111" s="24">
        <f t="shared" si="34"/>
        <v>0</v>
      </c>
      <c r="G111" s="23">
        <f t="shared" si="35"/>
        <v>0</v>
      </c>
      <c r="H111" s="24"/>
      <c r="I111" s="23">
        <f t="shared" si="36"/>
        <v>0</v>
      </c>
      <c r="J111" s="23">
        <f t="shared" si="37"/>
        <v>145.78904814647319</v>
      </c>
      <c r="K111" s="23">
        <f t="shared" si="38"/>
        <v>70660.840922274772</v>
      </c>
      <c r="L111" s="23">
        <f t="shared" si="39"/>
        <v>455.56805426706609</v>
      </c>
      <c r="M111" s="23">
        <f t="shared" si="26"/>
        <v>0</v>
      </c>
      <c r="N111" s="23">
        <f t="shared" si="27"/>
        <v>92.93370183617786</v>
      </c>
      <c r="O111" s="23">
        <f t="shared" si="28"/>
        <v>362.63435243088821</v>
      </c>
      <c r="P111" s="23">
        <f t="shared" si="29"/>
        <v>216.84530428441502</v>
      </c>
      <c r="Q111" s="23">
        <f t="shared" si="44"/>
        <v>117423.22452477248</v>
      </c>
      <c r="R111" s="25">
        <f t="shared" si="45"/>
        <v>2717.2218245764366</v>
      </c>
    </row>
    <row r="112" spans="2:18" x14ac:dyDescent="0.25">
      <c r="B112" s="22">
        <f t="shared" si="30"/>
        <v>101</v>
      </c>
      <c r="C112" s="23">
        <f t="shared" si="31"/>
        <v>70660.840922274772</v>
      </c>
      <c r="D112" s="23">
        <f t="shared" si="32"/>
        <v>309.14117903495207</v>
      </c>
      <c r="E112" s="23">
        <f t="shared" si="33"/>
        <v>146.42687523211404</v>
      </c>
      <c r="F112" s="24">
        <f t="shared" si="34"/>
        <v>0</v>
      </c>
      <c r="G112" s="23">
        <f t="shared" si="35"/>
        <v>0</v>
      </c>
      <c r="H112" s="24"/>
      <c r="I112" s="23">
        <f t="shared" si="36"/>
        <v>0</v>
      </c>
      <c r="J112" s="23">
        <f t="shared" si="37"/>
        <v>146.42687523211404</v>
      </c>
      <c r="K112" s="23">
        <f t="shared" si="38"/>
        <v>70514.414047042665</v>
      </c>
      <c r="L112" s="23">
        <f t="shared" si="39"/>
        <v>455.56805426706615</v>
      </c>
      <c r="M112" s="23">
        <f t="shared" si="26"/>
        <v>0</v>
      </c>
      <c r="N112" s="23">
        <f t="shared" si="27"/>
        <v>92.742353710485617</v>
      </c>
      <c r="O112" s="23">
        <f t="shared" si="28"/>
        <v>362.8257005565805</v>
      </c>
      <c r="P112" s="23">
        <f t="shared" si="29"/>
        <v>216.39882532446646</v>
      </c>
      <c r="Q112" s="23">
        <f t="shared" si="44"/>
        <v>117423.22452477248</v>
      </c>
      <c r="R112" s="25">
        <f t="shared" si="45"/>
        <v>2717.2218245764366</v>
      </c>
    </row>
    <row r="113" spans="2:18" x14ac:dyDescent="0.25">
      <c r="B113" s="22">
        <f t="shared" si="30"/>
        <v>102</v>
      </c>
      <c r="C113" s="23">
        <f t="shared" si="31"/>
        <v>70514.414047042665</v>
      </c>
      <c r="D113" s="23">
        <f t="shared" si="32"/>
        <v>308.50056145581158</v>
      </c>
      <c r="E113" s="23">
        <f t="shared" si="33"/>
        <v>147.06749281125454</v>
      </c>
      <c r="F113" s="24">
        <f t="shared" si="34"/>
        <v>0</v>
      </c>
      <c r="G113" s="23">
        <f t="shared" si="35"/>
        <v>0</v>
      </c>
      <c r="H113" s="24"/>
      <c r="I113" s="23">
        <f t="shared" si="36"/>
        <v>0</v>
      </c>
      <c r="J113" s="23">
        <f t="shared" si="37"/>
        <v>147.06749281125454</v>
      </c>
      <c r="K113" s="23">
        <f t="shared" si="38"/>
        <v>70367.346554231408</v>
      </c>
      <c r="L113" s="23">
        <f t="shared" si="39"/>
        <v>455.56805426706615</v>
      </c>
      <c r="M113" s="23">
        <f t="shared" si="26"/>
        <v>0</v>
      </c>
      <c r="N113" s="23">
        <f t="shared" si="27"/>
        <v>92.550168436743476</v>
      </c>
      <c r="O113" s="23">
        <f t="shared" si="28"/>
        <v>363.01788583032265</v>
      </c>
      <c r="P113" s="23">
        <f t="shared" si="29"/>
        <v>215.95039301906812</v>
      </c>
      <c r="Q113" s="23">
        <f t="shared" si="44"/>
        <v>117423.22452477248</v>
      </c>
      <c r="R113" s="25">
        <f t="shared" si="45"/>
        <v>2717.2218245764366</v>
      </c>
    </row>
    <row r="114" spans="2:18" x14ac:dyDescent="0.25">
      <c r="B114" s="22">
        <f t="shared" si="30"/>
        <v>103</v>
      </c>
      <c r="C114" s="23">
        <f t="shared" si="31"/>
        <v>70367.346554231408</v>
      </c>
      <c r="D114" s="23">
        <f t="shared" si="32"/>
        <v>307.85714117476238</v>
      </c>
      <c r="E114" s="23">
        <f t="shared" si="33"/>
        <v>147.71091309230374</v>
      </c>
      <c r="F114" s="24">
        <f t="shared" si="34"/>
        <v>0</v>
      </c>
      <c r="G114" s="23">
        <f t="shared" si="35"/>
        <v>0</v>
      </c>
      <c r="H114" s="24"/>
      <c r="I114" s="23">
        <f t="shared" si="36"/>
        <v>0</v>
      </c>
      <c r="J114" s="23">
        <f t="shared" si="37"/>
        <v>147.71091309230374</v>
      </c>
      <c r="K114" s="23">
        <f t="shared" si="38"/>
        <v>70219.635641139103</v>
      </c>
      <c r="L114" s="23">
        <f t="shared" si="39"/>
        <v>455.56805426706615</v>
      </c>
      <c r="M114" s="23">
        <f t="shared" si="26"/>
        <v>0</v>
      </c>
      <c r="N114" s="23">
        <f t="shared" si="27"/>
        <v>92.35714235242871</v>
      </c>
      <c r="O114" s="23">
        <f t="shared" si="28"/>
        <v>363.21091191463745</v>
      </c>
      <c r="P114" s="23">
        <f t="shared" si="29"/>
        <v>215.49999882233371</v>
      </c>
      <c r="Q114" s="23">
        <f t="shared" si="44"/>
        <v>117423.22452477248</v>
      </c>
      <c r="R114" s="25">
        <f t="shared" si="45"/>
        <v>2717.2218245764366</v>
      </c>
    </row>
    <row r="115" spans="2:18" x14ac:dyDescent="0.25">
      <c r="B115" s="22">
        <f t="shared" si="30"/>
        <v>104</v>
      </c>
      <c r="C115" s="23">
        <f t="shared" si="31"/>
        <v>70219.635641139103</v>
      </c>
      <c r="D115" s="23">
        <f t="shared" si="32"/>
        <v>307.21090592998354</v>
      </c>
      <c r="E115" s="23">
        <f t="shared" si="33"/>
        <v>148.35714833708258</v>
      </c>
      <c r="F115" s="24">
        <f t="shared" si="34"/>
        <v>0</v>
      </c>
      <c r="G115" s="23">
        <f t="shared" si="35"/>
        <v>0</v>
      </c>
      <c r="H115" s="24"/>
      <c r="I115" s="23">
        <f t="shared" si="36"/>
        <v>0</v>
      </c>
      <c r="J115" s="23">
        <f t="shared" si="37"/>
        <v>148.35714833708258</v>
      </c>
      <c r="K115" s="23">
        <f t="shared" si="38"/>
        <v>70071.278492802026</v>
      </c>
      <c r="L115" s="23">
        <f t="shared" si="39"/>
        <v>455.56805426706615</v>
      </c>
      <c r="M115" s="23">
        <f t="shared" si="26"/>
        <v>0</v>
      </c>
      <c r="N115" s="23">
        <f t="shared" si="27"/>
        <v>92.163271778995053</v>
      </c>
      <c r="O115" s="23">
        <f t="shared" si="28"/>
        <v>363.40478248807108</v>
      </c>
      <c r="P115" s="23">
        <f t="shared" si="29"/>
        <v>215.0476341509885</v>
      </c>
      <c r="Q115" s="23">
        <f t="shared" si="44"/>
        <v>117423.22452477248</v>
      </c>
      <c r="R115" s="25">
        <f t="shared" si="45"/>
        <v>2717.2218245764366</v>
      </c>
    </row>
    <row r="116" spans="2:18" x14ac:dyDescent="0.25">
      <c r="B116" s="22">
        <f t="shared" si="30"/>
        <v>105</v>
      </c>
      <c r="C116" s="23">
        <f t="shared" si="31"/>
        <v>70071.278492802026</v>
      </c>
      <c r="D116" s="23">
        <f t="shared" si="32"/>
        <v>306.56184340600879</v>
      </c>
      <c r="E116" s="23">
        <f t="shared" si="33"/>
        <v>149.00621086105733</v>
      </c>
      <c r="F116" s="24">
        <f t="shared" si="34"/>
        <v>0</v>
      </c>
      <c r="G116" s="23">
        <f t="shared" si="35"/>
        <v>0</v>
      </c>
      <c r="H116" s="24"/>
      <c r="I116" s="23">
        <f t="shared" si="36"/>
        <v>0</v>
      </c>
      <c r="J116" s="23">
        <f t="shared" si="37"/>
        <v>149.00621086105733</v>
      </c>
      <c r="K116" s="23">
        <f t="shared" si="38"/>
        <v>69922.272281940968</v>
      </c>
      <c r="L116" s="23">
        <f t="shared" si="39"/>
        <v>455.56805426706615</v>
      </c>
      <c r="M116" s="23">
        <f t="shared" si="26"/>
        <v>0</v>
      </c>
      <c r="N116" s="23">
        <f t="shared" si="27"/>
        <v>91.968553021802634</v>
      </c>
      <c r="O116" s="23">
        <f t="shared" si="28"/>
        <v>363.59950124526353</v>
      </c>
      <c r="P116" s="23">
        <f t="shared" si="29"/>
        <v>214.5932903842062</v>
      </c>
      <c r="Q116" s="23">
        <f t="shared" si="44"/>
        <v>117423.22452477248</v>
      </c>
      <c r="R116" s="25">
        <f t="shared" si="45"/>
        <v>2717.2218245764366</v>
      </c>
    </row>
    <row r="117" spans="2:18" x14ac:dyDescent="0.25">
      <c r="B117" s="22">
        <f t="shared" si="30"/>
        <v>106</v>
      </c>
      <c r="C117" s="23">
        <f t="shared" si="31"/>
        <v>69922.272281940968</v>
      </c>
      <c r="D117" s="23">
        <f t="shared" si="32"/>
        <v>305.90994123349168</v>
      </c>
      <c r="E117" s="23">
        <f t="shared" si="33"/>
        <v>149.65811303357441</v>
      </c>
      <c r="F117" s="24">
        <f t="shared" si="34"/>
        <v>0</v>
      </c>
      <c r="G117" s="23">
        <f t="shared" si="35"/>
        <v>0</v>
      </c>
      <c r="H117" s="24"/>
      <c r="I117" s="23">
        <f t="shared" si="36"/>
        <v>0</v>
      </c>
      <c r="J117" s="23">
        <f t="shared" si="37"/>
        <v>149.65811303357441</v>
      </c>
      <c r="K117" s="23">
        <f t="shared" si="38"/>
        <v>69772.614168907399</v>
      </c>
      <c r="L117" s="23">
        <f t="shared" si="39"/>
        <v>455.56805426706609</v>
      </c>
      <c r="M117" s="23">
        <f t="shared" si="26"/>
        <v>0</v>
      </c>
      <c r="N117" s="23">
        <f t="shared" si="27"/>
        <v>91.772982370047501</v>
      </c>
      <c r="O117" s="23">
        <f t="shared" si="28"/>
        <v>363.7950718970186</v>
      </c>
      <c r="P117" s="23">
        <f t="shared" si="29"/>
        <v>214.13695886344419</v>
      </c>
      <c r="Q117" s="23">
        <f t="shared" si="44"/>
        <v>117423.22452477248</v>
      </c>
      <c r="R117" s="25">
        <f t="shared" si="45"/>
        <v>2717.2218245764366</v>
      </c>
    </row>
    <row r="118" spans="2:18" x14ac:dyDescent="0.25">
      <c r="B118" s="22">
        <f t="shared" si="30"/>
        <v>107</v>
      </c>
      <c r="C118" s="23">
        <f t="shared" si="31"/>
        <v>69772.614168907399</v>
      </c>
      <c r="D118" s="23">
        <f t="shared" si="32"/>
        <v>305.2551869889698</v>
      </c>
      <c r="E118" s="23">
        <f t="shared" si="33"/>
        <v>150.31286727809635</v>
      </c>
      <c r="F118" s="24">
        <f t="shared" si="34"/>
        <v>0</v>
      </c>
      <c r="G118" s="23">
        <f t="shared" si="35"/>
        <v>0</v>
      </c>
      <c r="H118" s="24"/>
      <c r="I118" s="23">
        <f t="shared" si="36"/>
        <v>0</v>
      </c>
      <c r="J118" s="23">
        <f t="shared" si="37"/>
        <v>150.31286727809635</v>
      </c>
      <c r="K118" s="23">
        <f t="shared" si="38"/>
        <v>69622.301301629297</v>
      </c>
      <c r="L118" s="23">
        <f t="shared" si="39"/>
        <v>455.56805426706615</v>
      </c>
      <c r="M118" s="23">
        <f t="shared" si="26"/>
        <v>0</v>
      </c>
      <c r="N118" s="23">
        <f t="shared" si="27"/>
        <v>91.576556096690936</v>
      </c>
      <c r="O118" s="23">
        <f t="shared" si="28"/>
        <v>363.99149817037522</v>
      </c>
      <c r="P118" s="23">
        <f t="shared" si="29"/>
        <v>213.67863089227887</v>
      </c>
      <c r="Q118" s="23">
        <f t="shared" si="44"/>
        <v>117423.22452477248</v>
      </c>
      <c r="R118" s="25">
        <f t="shared" si="45"/>
        <v>2717.2218245764366</v>
      </c>
    </row>
    <row r="119" spans="2:18" x14ac:dyDescent="0.25">
      <c r="B119" s="22">
        <f t="shared" si="30"/>
        <v>108</v>
      </c>
      <c r="C119" s="23">
        <f t="shared" si="31"/>
        <v>69622.301301629297</v>
      </c>
      <c r="D119" s="23">
        <f t="shared" si="32"/>
        <v>304.59756819462808</v>
      </c>
      <c r="E119" s="23">
        <f t="shared" si="33"/>
        <v>150.97048607243801</v>
      </c>
      <c r="F119" s="24">
        <f t="shared" si="34"/>
        <v>0</v>
      </c>
      <c r="G119" s="23">
        <f t="shared" si="35"/>
        <v>0</v>
      </c>
      <c r="H119" s="24"/>
      <c r="I119" s="23">
        <f t="shared" si="36"/>
        <v>0</v>
      </c>
      <c r="J119" s="23">
        <f t="shared" si="37"/>
        <v>150.97048607243801</v>
      </c>
      <c r="K119" s="23">
        <f t="shared" si="38"/>
        <v>69471.330815556852</v>
      </c>
      <c r="L119" s="23">
        <f t="shared" si="39"/>
        <v>455.56805426706609</v>
      </c>
      <c r="M119" s="23">
        <f t="shared" si="26"/>
        <v>0</v>
      </c>
      <c r="N119" s="23">
        <f t="shared" si="27"/>
        <v>91.379270458388419</v>
      </c>
      <c r="O119" s="23">
        <f t="shared" si="28"/>
        <v>364.18878380867767</v>
      </c>
      <c r="P119" s="23">
        <f t="shared" si="29"/>
        <v>213.21829773623966</v>
      </c>
      <c r="Q119" s="23">
        <f t="shared" si="44"/>
        <v>117423.22452477248</v>
      </c>
      <c r="R119" s="25">
        <f t="shared" si="45"/>
        <v>2717.2218245764366</v>
      </c>
    </row>
    <row r="120" spans="2:18" x14ac:dyDescent="0.25">
      <c r="B120" s="22">
        <f t="shared" si="30"/>
        <v>109</v>
      </c>
      <c r="C120" s="23">
        <f t="shared" si="31"/>
        <v>69471.330815556852</v>
      </c>
      <c r="D120" s="23">
        <f t="shared" si="32"/>
        <v>303.93707231806121</v>
      </c>
      <c r="E120" s="23">
        <f t="shared" si="33"/>
        <v>151.63098194900491</v>
      </c>
      <c r="F120" s="24">
        <f t="shared" si="34"/>
        <v>0</v>
      </c>
      <c r="G120" s="23">
        <f t="shared" si="35"/>
        <v>0</v>
      </c>
      <c r="H120" s="24"/>
      <c r="I120" s="23">
        <f t="shared" si="36"/>
        <v>0</v>
      </c>
      <c r="J120" s="23">
        <f t="shared" si="37"/>
        <v>151.63098194900491</v>
      </c>
      <c r="K120" s="23">
        <f t="shared" si="38"/>
        <v>69319.699833607854</v>
      </c>
      <c r="L120" s="23">
        <f t="shared" si="39"/>
        <v>455.56805426706615</v>
      </c>
      <c r="M120" s="23">
        <f t="shared" si="26"/>
        <v>0</v>
      </c>
      <c r="N120" s="23">
        <f t="shared" si="27"/>
        <v>91.181121695418355</v>
      </c>
      <c r="O120" s="23">
        <f t="shared" si="28"/>
        <v>364.38693257164778</v>
      </c>
      <c r="P120" s="23">
        <f t="shared" si="29"/>
        <v>212.75595062264287</v>
      </c>
      <c r="Q120" s="23">
        <f>$Q$119+ $Q$119*$L$8</f>
        <v>122120.15350576337</v>
      </c>
      <c r="R120" s="25">
        <f>$R$119 + ($R$119 * $S$5)</f>
        <v>2798.7384793137298</v>
      </c>
    </row>
    <row r="121" spans="2:18" x14ac:dyDescent="0.25">
      <c r="B121" s="22">
        <f t="shared" si="30"/>
        <v>110</v>
      </c>
      <c r="C121" s="23">
        <f t="shared" si="31"/>
        <v>69319.699833607854</v>
      </c>
      <c r="D121" s="23">
        <f t="shared" si="32"/>
        <v>303.27368677203435</v>
      </c>
      <c r="E121" s="23">
        <f t="shared" si="33"/>
        <v>152.29436749503182</v>
      </c>
      <c r="F121" s="24">
        <f t="shared" si="34"/>
        <v>0</v>
      </c>
      <c r="G121" s="23">
        <f t="shared" si="35"/>
        <v>0</v>
      </c>
      <c r="H121" s="24"/>
      <c r="I121" s="23">
        <f t="shared" si="36"/>
        <v>0</v>
      </c>
      <c r="J121" s="23">
        <f t="shared" si="37"/>
        <v>152.29436749503182</v>
      </c>
      <c r="K121" s="23">
        <f t="shared" si="38"/>
        <v>69167.405466112818</v>
      </c>
      <c r="L121" s="23">
        <f t="shared" si="39"/>
        <v>455.56805426706615</v>
      </c>
      <c r="M121" s="23">
        <f t="shared" si="26"/>
        <v>0</v>
      </c>
      <c r="N121" s="23">
        <f t="shared" si="27"/>
        <v>90.9821060316103</v>
      </c>
      <c r="O121" s="23">
        <f t="shared" si="28"/>
        <v>364.58594823545582</v>
      </c>
      <c r="P121" s="23">
        <f t="shared" si="29"/>
        <v>212.291580740424</v>
      </c>
      <c r="Q121" s="23">
        <f t="shared" ref="Q121:Q131" si="46">$Q$119+ $Q$119*$L$8</f>
        <v>122120.15350576337</v>
      </c>
      <c r="R121" s="25">
        <f t="shared" ref="R121:R131" si="47">$R$119 + ($R$119 * $S$5)</f>
        <v>2798.7384793137298</v>
      </c>
    </row>
    <row r="122" spans="2:18" x14ac:dyDescent="0.25">
      <c r="B122" s="22">
        <f t="shared" si="30"/>
        <v>111</v>
      </c>
      <c r="C122" s="23">
        <f t="shared" si="31"/>
        <v>69167.405466112818</v>
      </c>
      <c r="D122" s="23">
        <f t="shared" si="32"/>
        <v>302.60739891424356</v>
      </c>
      <c r="E122" s="23">
        <f t="shared" si="33"/>
        <v>152.96065535282258</v>
      </c>
      <c r="F122" s="24">
        <f t="shared" si="34"/>
        <v>0</v>
      </c>
      <c r="G122" s="23">
        <f t="shared" si="35"/>
        <v>0</v>
      </c>
      <c r="H122" s="24"/>
      <c r="I122" s="23">
        <f t="shared" si="36"/>
        <v>0</v>
      </c>
      <c r="J122" s="23">
        <f t="shared" si="37"/>
        <v>152.96065535282258</v>
      </c>
      <c r="K122" s="23">
        <f t="shared" si="38"/>
        <v>69014.444810759989</v>
      </c>
      <c r="L122" s="23">
        <f t="shared" si="39"/>
        <v>455.56805426706615</v>
      </c>
      <c r="M122" s="23">
        <f t="shared" si="26"/>
        <v>0</v>
      </c>
      <c r="N122" s="23">
        <f t="shared" si="27"/>
        <v>90.782219674273065</v>
      </c>
      <c r="O122" s="23">
        <f t="shared" si="28"/>
        <v>364.78583459279309</v>
      </c>
      <c r="P122" s="23">
        <f t="shared" si="29"/>
        <v>211.82517923997051</v>
      </c>
      <c r="Q122" s="23">
        <f t="shared" si="46"/>
        <v>122120.15350576337</v>
      </c>
      <c r="R122" s="25">
        <f t="shared" si="47"/>
        <v>2798.7384793137298</v>
      </c>
    </row>
    <row r="123" spans="2:18" x14ac:dyDescent="0.25">
      <c r="B123" s="22">
        <f t="shared" si="30"/>
        <v>112</v>
      </c>
      <c r="C123" s="23">
        <f t="shared" si="31"/>
        <v>69014.444810759989</v>
      </c>
      <c r="D123" s="23">
        <f t="shared" si="32"/>
        <v>301.938196047075</v>
      </c>
      <c r="E123" s="23">
        <f t="shared" si="33"/>
        <v>153.62985821999118</v>
      </c>
      <c r="F123" s="24">
        <f t="shared" si="34"/>
        <v>0</v>
      </c>
      <c r="G123" s="23">
        <f t="shared" si="35"/>
        <v>0</v>
      </c>
      <c r="H123" s="24"/>
      <c r="I123" s="23">
        <f t="shared" si="36"/>
        <v>0</v>
      </c>
      <c r="J123" s="23">
        <f t="shared" si="37"/>
        <v>153.62985821999118</v>
      </c>
      <c r="K123" s="23">
        <f t="shared" si="38"/>
        <v>68860.814952539993</v>
      </c>
      <c r="L123" s="23">
        <f t="shared" si="39"/>
        <v>455.56805426706615</v>
      </c>
      <c r="M123" s="23">
        <f t="shared" si="26"/>
        <v>0</v>
      </c>
      <c r="N123" s="23">
        <f t="shared" si="27"/>
        <v>90.581458814122499</v>
      </c>
      <c r="O123" s="23">
        <f t="shared" si="28"/>
        <v>364.98659545294367</v>
      </c>
      <c r="P123" s="23">
        <f t="shared" si="29"/>
        <v>211.3567372329525</v>
      </c>
      <c r="Q123" s="23">
        <f t="shared" si="46"/>
        <v>122120.15350576337</v>
      </c>
      <c r="R123" s="25">
        <f t="shared" si="47"/>
        <v>2798.7384793137298</v>
      </c>
    </row>
    <row r="124" spans="2:18" x14ac:dyDescent="0.25">
      <c r="B124" s="22">
        <f t="shared" si="30"/>
        <v>113</v>
      </c>
      <c r="C124" s="23">
        <f t="shared" si="31"/>
        <v>68860.814952539993</v>
      </c>
      <c r="D124" s="23">
        <f t="shared" si="32"/>
        <v>301.26606541736248</v>
      </c>
      <c r="E124" s="23">
        <f t="shared" si="33"/>
        <v>154.30198884970366</v>
      </c>
      <c r="F124" s="24">
        <f t="shared" si="34"/>
        <v>0</v>
      </c>
      <c r="G124" s="23">
        <f t="shared" si="35"/>
        <v>0</v>
      </c>
      <c r="H124" s="24"/>
      <c r="I124" s="23">
        <f t="shared" si="36"/>
        <v>0</v>
      </c>
      <c r="J124" s="23">
        <f t="shared" si="37"/>
        <v>154.30198884970366</v>
      </c>
      <c r="K124" s="23">
        <f t="shared" si="38"/>
        <v>68706.512963690286</v>
      </c>
      <c r="L124" s="23">
        <f t="shared" si="39"/>
        <v>455.56805426706615</v>
      </c>
      <c r="M124" s="23">
        <f t="shared" si="26"/>
        <v>0</v>
      </c>
      <c r="N124" s="23">
        <f t="shared" si="27"/>
        <v>90.379819625208739</v>
      </c>
      <c r="O124" s="23">
        <f t="shared" si="28"/>
        <v>365.18823464185743</v>
      </c>
      <c r="P124" s="23">
        <f t="shared" si="29"/>
        <v>210.88624579215377</v>
      </c>
      <c r="Q124" s="23">
        <f t="shared" si="46"/>
        <v>122120.15350576337</v>
      </c>
      <c r="R124" s="25">
        <f t="shared" si="47"/>
        <v>2798.7384793137298</v>
      </c>
    </row>
    <row r="125" spans="2:18" x14ac:dyDescent="0.25">
      <c r="B125" s="22">
        <f t="shared" si="30"/>
        <v>114</v>
      </c>
      <c r="C125" s="23">
        <f t="shared" si="31"/>
        <v>68706.512963690286</v>
      </c>
      <c r="D125" s="23">
        <f t="shared" si="32"/>
        <v>300.59099421614502</v>
      </c>
      <c r="E125" s="23">
        <f t="shared" si="33"/>
        <v>154.9770600509211</v>
      </c>
      <c r="F125" s="24">
        <f t="shared" si="34"/>
        <v>0</v>
      </c>
      <c r="G125" s="23">
        <f t="shared" si="35"/>
        <v>0</v>
      </c>
      <c r="H125" s="24"/>
      <c r="I125" s="23">
        <f t="shared" si="36"/>
        <v>0</v>
      </c>
      <c r="J125" s="23">
        <f t="shared" si="37"/>
        <v>154.9770600509211</v>
      </c>
      <c r="K125" s="23">
        <f t="shared" si="38"/>
        <v>68551.535903639364</v>
      </c>
      <c r="L125" s="23">
        <f t="shared" si="39"/>
        <v>455.56805426706615</v>
      </c>
      <c r="M125" s="23">
        <f t="shared" si="26"/>
        <v>0</v>
      </c>
      <c r="N125" s="23">
        <f t="shared" si="27"/>
        <v>90.1772982648435</v>
      </c>
      <c r="O125" s="23">
        <f t="shared" si="28"/>
        <v>365.39075600222264</v>
      </c>
      <c r="P125" s="23">
        <f t="shared" si="29"/>
        <v>210.41369595130155</v>
      </c>
      <c r="Q125" s="23">
        <f t="shared" si="46"/>
        <v>122120.15350576337</v>
      </c>
      <c r="R125" s="25">
        <f t="shared" si="47"/>
        <v>2798.7384793137298</v>
      </c>
    </row>
    <row r="126" spans="2:18" x14ac:dyDescent="0.25">
      <c r="B126" s="22">
        <f t="shared" si="30"/>
        <v>115</v>
      </c>
      <c r="C126" s="23">
        <f t="shared" si="31"/>
        <v>68551.535903639364</v>
      </c>
      <c r="D126" s="23">
        <f t="shared" si="32"/>
        <v>299.91296957842223</v>
      </c>
      <c r="E126" s="23">
        <f t="shared" si="33"/>
        <v>155.65508468864388</v>
      </c>
      <c r="F126" s="24">
        <f t="shared" si="34"/>
        <v>0</v>
      </c>
      <c r="G126" s="23">
        <f t="shared" si="35"/>
        <v>0</v>
      </c>
      <c r="H126" s="24"/>
      <c r="I126" s="23">
        <f t="shared" si="36"/>
        <v>0</v>
      </c>
      <c r="J126" s="23">
        <f t="shared" si="37"/>
        <v>155.65508468864388</v>
      </c>
      <c r="K126" s="23">
        <f t="shared" si="38"/>
        <v>68395.880818950725</v>
      </c>
      <c r="L126" s="23">
        <f t="shared" si="39"/>
        <v>455.56805426706615</v>
      </c>
      <c r="M126" s="23">
        <f t="shared" si="26"/>
        <v>0</v>
      </c>
      <c r="N126" s="23">
        <f t="shared" si="27"/>
        <v>89.97389087352667</v>
      </c>
      <c r="O126" s="23">
        <f t="shared" si="28"/>
        <v>365.59416339353947</v>
      </c>
      <c r="P126" s="23">
        <f t="shared" si="29"/>
        <v>209.93907870489559</v>
      </c>
      <c r="Q126" s="23">
        <f t="shared" si="46"/>
        <v>122120.15350576337</v>
      </c>
      <c r="R126" s="25">
        <f t="shared" si="47"/>
        <v>2798.7384793137298</v>
      </c>
    </row>
    <row r="127" spans="2:18" x14ac:dyDescent="0.25">
      <c r="B127" s="22">
        <f t="shared" si="30"/>
        <v>116</v>
      </c>
      <c r="C127" s="23">
        <f t="shared" si="31"/>
        <v>68395.880818950725</v>
      </c>
      <c r="D127" s="23">
        <f t="shared" si="32"/>
        <v>299.23197858290945</v>
      </c>
      <c r="E127" s="23">
        <f t="shared" si="33"/>
        <v>156.3360756841567</v>
      </c>
      <c r="F127" s="24">
        <f t="shared" si="34"/>
        <v>0</v>
      </c>
      <c r="G127" s="23">
        <f t="shared" si="35"/>
        <v>0</v>
      </c>
      <c r="H127" s="24"/>
      <c r="I127" s="23">
        <f t="shared" si="36"/>
        <v>0</v>
      </c>
      <c r="J127" s="23">
        <f t="shared" si="37"/>
        <v>156.3360756841567</v>
      </c>
      <c r="K127" s="23">
        <f t="shared" si="38"/>
        <v>68239.544743266568</v>
      </c>
      <c r="L127" s="23">
        <f t="shared" si="39"/>
        <v>455.56805426706615</v>
      </c>
      <c r="M127" s="23">
        <f t="shared" si="26"/>
        <v>0</v>
      </c>
      <c r="N127" s="23">
        <f t="shared" si="27"/>
        <v>89.769593574872829</v>
      </c>
      <c r="O127" s="23">
        <f t="shared" si="28"/>
        <v>365.79846069219332</v>
      </c>
      <c r="P127" s="23">
        <f t="shared" si="29"/>
        <v>209.46238500803662</v>
      </c>
      <c r="Q127" s="23">
        <f t="shared" si="46"/>
        <v>122120.15350576337</v>
      </c>
      <c r="R127" s="25">
        <f t="shared" si="47"/>
        <v>2798.7384793137298</v>
      </c>
    </row>
    <row r="128" spans="2:18" x14ac:dyDescent="0.25">
      <c r="B128" s="22">
        <f t="shared" si="30"/>
        <v>117</v>
      </c>
      <c r="C128" s="23">
        <f t="shared" si="31"/>
        <v>68239.544743266568</v>
      </c>
      <c r="D128" s="23">
        <f t="shared" si="32"/>
        <v>298.5480082517912</v>
      </c>
      <c r="E128" s="23">
        <f t="shared" si="33"/>
        <v>157.02004601527489</v>
      </c>
      <c r="F128" s="24">
        <f t="shared" si="34"/>
        <v>0</v>
      </c>
      <c r="G128" s="23">
        <f t="shared" si="35"/>
        <v>0</v>
      </c>
      <c r="H128" s="24"/>
      <c r="I128" s="23">
        <f t="shared" si="36"/>
        <v>0</v>
      </c>
      <c r="J128" s="23">
        <f t="shared" si="37"/>
        <v>157.02004601527489</v>
      </c>
      <c r="K128" s="23">
        <f t="shared" si="38"/>
        <v>68082.524697251298</v>
      </c>
      <c r="L128" s="23">
        <f t="shared" si="39"/>
        <v>455.56805426706609</v>
      </c>
      <c r="M128" s="23">
        <f t="shared" si="26"/>
        <v>0</v>
      </c>
      <c r="N128" s="23">
        <f t="shared" si="27"/>
        <v>89.564402475537364</v>
      </c>
      <c r="O128" s="23">
        <f t="shared" si="28"/>
        <v>366.00365179152874</v>
      </c>
      <c r="P128" s="23">
        <f t="shared" si="29"/>
        <v>208.98360577625385</v>
      </c>
      <c r="Q128" s="23">
        <f t="shared" si="46"/>
        <v>122120.15350576337</v>
      </c>
      <c r="R128" s="25">
        <f t="shared" si="47"/>
        <v>2798.7384793137298</v>
      </c>
    </row>
    <row r="129" spans="2:18" x14ac:dyDescent="0.25">
      <c r="B129" s="22">
        <f t="shared" si="30"/>
        <v>118</v>
      </c>
      <c r="C129" s="23">
        <f t="shared" si="31"/>
        <v>68082.524697251298</v>
      </c>
      <c r="D129" s="23">
        <f t="shared" si="32"/>
        <v>297.86104555047439</v>
      </c>
      <c r="E129" s="23">
        <f t="shared" si="33"/>
        <v>157.70700871659173</v>
      </c>
      <c r="F129" s="24">
        <f t="shared" si="34"/>
        <v>0</v>
      </c>
      <c r="G129" s="23">
        <f t="shared" si="35"/>
        <v>0</v>
      </c>
      <c r="H129" s="24"/>
      <c r="I129" s="23">
        <f t="shared" si="36"/>
        <v>0</v>
      </c>
      <c r="J129" s="23">
        <f t="shared" si="37"/>
        <v>157.70700871659173</v>
      </c>
      <c r="K129" s="23">
        <f t="shared" si="38"/>
        <v>67924.817688534706</v>
      </c>
      <c r="L129" s="23">
        <f t="shared" si="39"/>
        <v>455.56805426706615</v>
      </c>
      <c r="M129" s="23">
        <f t="shared" si="26"/>
        <v>0</v>
      </c>
      <c r="N129" s="23">
        <f t="shared" si="27"/>
        <v>89.358313665142319</v>
      </c>
      <c r="O129" s="23">
        <f t="shared" si="28"/>
        <v>366.20974060192384</v>
      </c>
      <c r="P129" s="23">
        <f t="shared" si="29"/>
        <v>208.50273188533211</v>
      </c>
      <c r="Q129" s="23">
        <f t="shared" si="46"/>
        <v>122120.15350576337</v>
      </c>
      <c r="R129" s="25">
        <f t="shared" si="47"/>
        <v>2798.7384793137298</v>
      </c>
    </row>
    <row r="130" spans="2:18" x14ac:dyDescent="0.25">
      <c r="B130" s="22">
        <f t="shared" si="30"/>
        <v>119</v>
      </c>
      <c r="C130" s="23">
        <f t="shared" si="31"/>
        <v>67924.817688534706</v>
      </c>
      <c r="D130" s="23">
        <f t="shared" si="32"/>
        <v>297.17107738733932</v>
      </c>
      <c r="E130" s="23">
        <f t="shared" si="33"/>
        <v>158.39697687972682</v>
      </c>
      <c r="F130" s="24">
        <f t="shared" si="34"/>
        <v>0</v>
      </c>
      <c r="G130" s="23">
        <f t="shared" si="35"/>
        <v>0</v>
      </c>
      <c r="H130" s="24"/>
      <c r="I130" s="23">
        <f t="shared" si="36"/>
        <v>0</v>
      </c>
      <c r="J130" s="23">
        <f t="shared" si="37"/>
        <v>158.39697687972682</v>
      </c>
      <c r="K130" s="23">
        <f t="shared" si="38"/>
        <v>67766.420711654981</v>
      </c>
      <c r="L130" s="23">
        <f t="shared" si="39"/>
        <v>455.56805426706615</v>
      </c>
      <c r="M130" s="23">
        <f t="shared" si="26"/>
        <v>0</v>
      </c>
      <c r="N130" s="23">
        <f t="shared" si="27"/>
        <v>89.151323216201789</v>
      </c>
      <c r="O130" s="23">
        <f t="shared" si="28"/>
        <v>366.41673105086437</v>
      </c>
      <c r="P130" s="23">
        <f t="shared" si="29"/>
        <v>208.01975417113755</v>
      </c>
      <c r="Q130" s="23">
        <f t="shared" si="46"/>
        <v>122120.15350576337</v>
      </c>
      <c r="R130" s="25">
        <f t="shared" si="47"/>
        <v>2798.7384793137298</v>
      </c>
    </row>
    <row r="131" spans="2:18" x14ac:dyDescent="0.25">
      <c r="B131" s="22">
        <f t="shared" si="30"/>
        <v>120</v>
      </c>
      <c r="C131" s="23">
        <f t="shared" si="31"/>
        <v>67766.420711654981</v>
      </c>
      <c r="D131" s="23">
        <f t="shared" si="32"/>
        <v>296.47809061349056</v>
      </c>
      <c r="E131" s="23">
        <f t="shared" si="33"/>
        <v>159.08996365357558</v>
      </c>
      <c r="F131" s="24">
        <f t="shared" si="34"/>
        <v>0</v>
      </c>
      <c r="G131" s="23">
        <f t="shared" si="35"/>
        <v>0</v>
      </c>
      <c r="H131" s="24"/>
      <c r="I131" s="23">
        <f t="shared" si="36"/>
        <v>0</v>
      </c>
      <c r="J131" s="23">
        <f t="shared" si="37"/>
        <v>159.08996365357558</v>
      </c>
      <c r="K131" s="23">
        <f t="shared" si="38"/>
        <v>67607.330748001405</v>
      </c>
      <c r="L131" s="23">
        <f t="shared" si="39"/>
        <v>455.56805426706615</v>
      </c>
      <c r="M131" s="23">
        <f t="shared" si="26"/>
        <v>0</v>
      </c>
      <c r="N131" s="23">
        <f t="shared" si="27"/>
        <v>88.943427184047167</v>
      </c>
      <c r="O131" s="23">
        <f t="shared" si="28"/>
        <v>366.62462708301899</v>
      </c>
      <c r="P131" s="23">
        <f t="shared" si="29"/>
        <v>207.53466342944341</v>
      </c>
      <c r="Q131" s="23">
        <f t="shared" si="46"/>
        <v>122120.15350576337</v>
      </c>
      <c r="R131" s="25">
        <f t="shared" si="47"/>
        <v>2798.7384793137298</v>
      </c>
    </row>
    <row r="132" spans="2:18" x14ac:dyDescent="0.25">
      <c r="B132" s="22">
        <f t="shared" si="30"/>
        <v>121</v>
      </c>
      <c r="C132" s="23">
        <f t="shared" si="31"/>
        <v>67607.330748001405</v>
      </c>
      <c r="D132" s="23">
        <f t="shared" si="32"/>
        <v>295.7820720225061</v>
      </c>
      <c r="E132" s="23">
        <f t="shared" si="33"/>
        <v>159.78598224456002</v>
      </c>
      <c r="F132" s="24">
        <f t="shared" si="34"/>
        <v>0</v>
      </c>
      <c r="G132" s="23">
        <f t="shared" si="35"/>
        <v>0</v>
      </c>
      <c r="H132" s="24"/>
      <c r="I132" s="23">
        <f t="shared" si="36"/>
        <v>0</v>
      </c>
      <c r="J132" s="23">
        <f t="shared" si="37"/>
        <v>159.78598224456002</v>
      </c>
      <c r="K132" s="23">
        <f t="shared" si="38"/>
        <v>67447.544765756844</v>
      </c>
      <c r="L132" s="23">
        <f t="shared" si="39"/>
        <v>455.56805426706615</v>
      </c>
      <c r="M132" s="23">
        <f t="shared" si="26"/>
        <v>0</v>
      </c>
      <c r="N132" s="23">
        <f t="shared" si="27"/>
        <v>88.73462160675183</v>
      </c>
      <c r="O132" s="23">
        <f t="shared" si="28"/>
        <v>366.83343266031432</v>
      </c>
      <c r="P132" s="23">
        <f t="shared" si="29"/>
        <v>207.0474504157543</v>
      </c>
      <c r="Q132" s="23">
        <f>$Q$131+ $Q$131*$L$8</f>
        <v>127004.95964599391</v>
      </c>
      <c r="R132" s="25">
        <f>$R$131 + ($R$131 * $S$5)</f>
        <v>2882.7006336931418</v>
      </c>
    </row>
    <row r="133" spans="2:18" x14ac:dyDescent="0.25">
      <c r="B133" s="22">
        <f t="shared" si="30"/>
        <v>122</v>
      </c>
      <c r="C133" s="23">
        <f t="shared" si="31"/>
        <v>67447.544765756844</v>
      </c>
      <c r="D133" s="23">
        <f t="shared" si="32"/>
        <v>295.08300835018616</v>
      </c>
      <c r="E133" s="23">
        <f t="shared" si="33"/>
        <v>160.48504591687995</v>
      </c>
      <c r="F133" s="24">
        <f t="shared" si="34"/>
        <v>0</v>
      </c>
      <c r="G133" s="23">
        <f t="shared" si="35"/>
        <v>0</v>
      </c>
      <c r="H133" s="24"/>
      <c r="I133" s="23">
        <f t="shared" si="36"/>
        <v>0</v>
      </c>
      <c r="J133" s="23">
        <f t="shared" si="37"/>
        <v>160.48504591687995</v>
      </c>
      <c r="K133" s="23">
        <f t="shared" si="38"/>
        <v>67287.059719839963</v>
      </c>
      <c r="L133" s="23">
        <f t="shared" si="39"/>
        <v>455.56805426706615</v>
      </c>
      <c r="M133" s="23">
        <f t="shared" si="26"/>
        <v>0</v>
      </c>
      <c r="N133" s="23">
        <f t="shared" si="27"/>
        <v>88.524902505055849</v>
      </c>
      <c r="O133" s="23">
        <f t="shared" si="28"/>
        <v>367.04315176201033</v>
      </c>
      <c r="P133" s="23">
        <f t="shared" si="29"/>
        <v>206.55810584513037</v>
      </c>
      <c r="Q133" s="23">
        <f t="shared" ref="Q133:Q143" si="48">$Q$131+ $Q$131*$L$8</f>
        <v>127004.95964599391</v>
      </c>
      <c r="R133" s="25">
        <f t="shared" ref="R133:R143" si="49">$R$131 + ($R$131 * $S$5)</f>
        <v>2882.7006336931418</v>
      </c>
    </row>
    <row r="134" spans="2:18" x14ac:dyDescent="0.25">
      <c r="B134" s="22">
        <f t="shared" si="30"/>
        <v>123</v>
      </c>
      <c r="C134" s="23">
        <f t="shared" si="31"/>
        <v>67287.059719839963</v>
      </c>
      <c r="D134" s="23">
        <f t="shared" si="32"/>
        <v>294.38088627429983</v>
      </c>
      <c r="E134" s="23">
        <f t="shared" si="33"/>
        <v>161.18716799276629</v>
      </c>
      <c r="F134" s="24">
        <f t="shared" si="34"/>
        <v>0</v>
      </c>
      <c r="G134" s="23">
        <f t="shared" si="35"/>
        <v>0</v>
      </c>
      <c r="H134" s="24"/>
      <c r="I134" s="23">
        <f t="shared" si="36"/>
        <v>0</v>
      </c>
      <c r="J134" s="23">
        <f t="shared" si="37"/>
        <v>161.18716799276629</v>
      </c>
      <c r="K134" s="23">
        <f t="shared" si="38"/>
        <v>67125.872551847191</v>
      </c>
      <c r="L134" s="23">
        <f t="shared" si="39"/>
        <v>455.56805426706615</v>
      </c>
      <c r="M134" s="23">
        <f t="shared" si="26"/>
        <v>0</v>
      </c>
      <c r="N134" s="23">
        <f t="shared" si="27"/>
        <v>88.314265882289945</v>
      </c>
      <c r="O134" s="23">
        <f t="shared" si="28"/>
        <v>367.25378838477621</v>
      </c>
      <c r="P134" s="23">
        <f t="shared" si="29"/>
        <v>206.06662039200992</v>
      </c>
      <c r="Q134" s="23">
        <f t="shared" si="48"/>
        <v>127004.95964599391</v>
      </c>
      <c r="R134" s="25">
        <f t="shared" si="49"/>
        <v>2882.7006336931418</v>
      </c>
    </row>
    <row r="135" spans="2:18" x14ac:dyDescent="0.25">
      <c r="B135" s="22">
        <f t="shared" si="30"/>
        <v>124</v>
      </c>
      <c r="C135" s="23">
        <f t="shared" si="31"/>
        <v>67125.872551847191</v>
      </c>
      <c r="D135" s="23">
        <f t="shared" si="32"/>
        <v>293.67569241433148</v>
      </c>
      <c r="E135" s="23">
        <f t="shared" si="33"/>
        <v>161.89236185273467</v>
      </c>
      <c r="F135" s="24">
        <f t="shared" si="34"/>
        <v>0</v>
      </c>
      <c r="G135" s="23">
        <f t="shared" si="35"/>
        <v>0</v>
      </c>
      <c r="H135" s="24"/>
      <c r="I135" s="23">
        <f t="shared" si="36"/>
        <v>0</v>
      </c>
      <c r="J135" s="23">
        <f t="shared" si="37"/>
        <v>161.89236185273467</v>
      </c>
      <c r="K135" s="23">
        <f t="shared" si="38"/>
        <v>66963.980189994458</v>
      </c>
      <c r="L135" s="23">
        <f t="shared" si="39"/>
        <v>455.56805426706615</v>
      </c>
      <c r="M135" s="23">
        <f t="shared" si="26"/>
        <v>0</v>
      </c>
      <c r="N135" s="23">
        <f t="shared" si="27"/>
        <v>88.102707724299435</v>
      </c>
      <c r="O135" s="23">
        <f t="shared" si="28"/>
        <v>367.46534654276672</v>
      </c>
      <c r="P135" s="23">
        <f t="shared" si="29"/>
        <v>205.57298469003206</v>
      </c>
      <c r="Q135" s="23">
        <f t="shared" si="48"/>
        <v>127004.95964599391</v>
      </c>
      <c r="R135" s="25">
        <f t="shared" si="49"/>
        <v>2882.7006336931418</v>
      </c>
    </row>
    <row r="136" spans="2:18" x14ac:dyDescent="0.25">
      <c r="B136" s="22">
        <f t="shared" si="30"/>
        <v>125</v>
      </c>
      <c r="C136" s="23">
        <f t="shared" si="31"/>
        <v>66963.980189994458</v>
      </c>
      <c r="D136" s="23">
        <f t="shared" si="32"/>
        <v>292.96741333122577</v>
      </c>
      <c r="E136" s="23">
        <f t="shared" si="33"/>
        <v>162.60064093584037</v>
      </c>
      <c r="F136" s="24">
        <f t="shared" si="34"/>
        <v>0</v>
      </c>
      <c r="G136" s="23">
        <f t="shared" si="35"/>
        <v>0</v>
      </c>
      <c r="H136" s="24"/>
      <c r="I136" s="23">
        <f t="shared" si="36"/>
        <v>0</v>
      </c>
      <c r="J136" s="23">
        <f t="shared" si="37"/>
        <v>162.60064093584037</v>
      </c>
      <c r="K136" s="23">
        <f t="shared" si="38"/>
        <v>66801.37954905862</v>
      </c>
      <c r="L136" s="23">
        <f t="shared" si="39"/>
        <v>455.56805426706615</v>
      </c>
      <c r="M136" s="23">
        <f t="shared" si="26"/>
        <v>0</v>
      </c>
      <c r="N136" s="23">
        <f t="shared" si="27"/>
        <v>87.890223999367734</v>
      </c>
      <c r="O136" s="23">
        <f t="shared" si="28"/>
        <v>367.67783026769843</v>
      </c>
      <c r="P136" s="23">
        <f t="shared" si="29"/>
        <v>205.07718933185805</v>
      </c>
      <c r="Q136" s="23">
        <f t="shared" si="48"/>
        <v>127004.95964599391</v>
      </c>
      <c r="R136" s="25">
        <f t="shared" si="49"/>
        <v>2882.7006336931418</v>
      </c>
    </row>
    <row r="137" spans="2:18" x14ac:dyDescent="0.25">
      <c r="B137" s="22">
        <f t="shared" si="30"/>
        <v>126</v>
      </c>
      <c r="C137" s="23">
        <f t="shared" si="31"/>
        <v>66801.37954905862</v>
      </c>
      <c r="D137" s="23">
        <f t="shared" si="32"/>
        <v>292.25603552713147</v>
      </c>
      <c r="E137" s="23">
        <f t="shared" si="33"/>
        <v>163.31201873993467</v>
      </c>
      <c r="F137" s="24">
        <f t="shared" si="34"/>
        <v>0</v>
      </c>
      <c r="G137" s="23">
        <f t="shared" si="35"/>
        <v>0</v>
      </c>
      <c r="H137" s="24"/>
      <c r="I137" s="23">
        <f t="shared" si="36"/>
        <v>0</v>
      </c>
      <c r="J137" s="23">
        <f t="shared" si="37"/>
        <v>163.31201873993467</v>
      </c>
      <c r="K137" s="23">
        <f t="shared" si="38"/>
        <v>66638.067530318687</v>
      </c>
      <c r="L137" s="23">
        <f t="shared" si="39"/>
        <v>455.56805426706615</v>
      </c>
      <c r="M137" s="23">
        <f t="shared" si="26"/>
        <v>0</v>
      </c>
      <c r="N137" s="23">
        <f t="shared" si="27"/>
        <v>87.676810658139445</v>
      </c>
      <c r="O137" s="23">
        <f t="shared" si="28"/>
        <v>367.89124360892669</v>
      </c>
      <c r="P137" s="23">
        <f t="shared" si="29"/>
        <v>204.57922486899201</v>
      </c>
      <c r="Q137" s="23">
        <f t="shared" si="48"/>
        <v>127004.95964599391</v>
      </c>
      <c r="R137" s="25">
        <f t="shared" si="49"/>
        <v>2882.7006336931418</v>
      </c>
    </row>
    <row r="138" spans="2:18" x14ac:dyDescent="0.25">
      <c r="B138" s="22">
        <f t="shared" si="30"/>
        <v>127</v>
      </c>
      <c r="C138" s="23">
        <f t="shared" si="31"/>
        <v>66638.067530318687</v>
      </c>
      <c r="D138" s="23">
        <f t="shared" si="32"/>
        <v>291.54154544514421</v>
      </c>
      <c r="E138" s="23">
        <f t="shared" si="33"/>
        <v>164.02650882192188</v>
      </c>
      <c r="F138" s="24">
        <f t="shared" si="34"/>
        <v>0</v>
      </c>
      <c r="G138" s="23">
        <f t="shared" si="35"/>
        <v>0</v>
      </c>
      <c r="H138" s="24"/>
      <c r="I138" s="23">
        <f t="shared" si="36"/>
        <v>0</v>
      </c>
      <c r="J138" s="23">
        <f t="shared" si="37"/>
        <v>164.02650882192188</v>
      </c>
      <c r="K138" s="23">
        <f t="shared" si="38"/>
        <v>66474.041021496771</v>
      </c>
      <c r="L138" s="23">
        <f t="shared" si="39"/>
        <v>455.56805426706609</v>
      </c>
      <c r="M138" s="23">
        <f t="shared" si="26"/>
        <v>0</v>
      </c>
      <c r="N138" s="23">
        <f t="shared" si="27"/>
        <v>87.462463633543265</v>
      </c>
      <c r="O138" s="23">
        <f t="shared" si="28"/>
        <v>368.10559063352281</v>
      </c>
      <c r="P138" s="23">
        <f t="shared" si="29"/>
        <v>204.07908181160093</v>
      </c>
      <c r="Q138" s="23">
        <f t="shared" si="48"/>
        <v>127004.95964599391</v>
      </c>
      <c r="R138" s="25">
        <f t="shared" si="49"/>
        <v>2882.7006336931418</v>
      </c>
    </row>
    <row r="139" spans="2:18" x14ac:dyDescent="0.25">
      <c r="B139" s="22">
        <f t="shared" si="30"/>
        <v>128</v>
      </c>
      <c r="C139" s="23">
        <f t="shared" si="31"/>
        <v>66474.041021496771</v>
      </c>
      <c r="D139" s="23">
        <f t="shared" si="32"/>
        <v>290.82392946904827</v>
      </c>
      <c r="E139" s="23">
        <f t="shared" si="33"/>
        <v>164.74412479801779</v>
      </c>
      <c r="F139" s="24">
        <f t="shared" si="34"/>
        <v>0</v>
      </c>
      <c r="G139" s="23">
        <f t="shared" si="35"/>
        <v>0</v>
      </c>
      <c r="H139" s="24"/>
      <c r="I139" s="23">
        <f t="shared" si="36"/>
        <v>0</v>
      </c>
      <c r="J139" s="23">
        <f t="shared" si="37"/>
        <v>164.74412479801779</v>
      </c>
      <c r="K139" s="23">
        <f t="shared" si="38"/>
        <v>66309.296896698754</v>
      </c>
      <c r="L139" s="23">
        <f t="shared" si="39"/>
        <v>455.56805426706603</v>
      </c>
      <c r="M139" s="23">
        <f t="shared" si="26"/>
        <v>0</v>
      </c>
      <c r="N139" s="23">
        <f t="shared" si="27"/>
        <v>87.247178840714483</v>
      </c>
      <c r="O139" s="23">
        <f t="shared" si="28"/>
        <v>368.32087542635156</v>
      </c>
      <c r="P139" s="23">
        <f t="shared" si="29"/>
        <v>203.57675062833377</v>
      </c>
      <c r="Q139" s="23">
        <f t="shared" si="48"/>
        <v>127004.95964599391</v>
      </c>
      <c r="R139" s="25">
        <f t="shared" si="49"/>
        <v>2882.7006336931418</v>
      </c>
    </row>
    <row r="140" spans="2:18" x14ac:dyDescent="0.25">
      <c r="B140" s="22">
        <f t="shared" si="30"/>
        <v>129</v>
      </c>
      <c r="C140" s="23">
        <f t="shared" si="31"/>
        <v>66309.296896698754</v>
      </c>
      <c r="D140" s="23">
        <f t="shared" si="32"/>
        <v>290.103173923057</v>
      </c>
      <c r="E140" s="23">
        <f t="shared" si="33"/>
        <v>165.46488034400912</v>
      </c>
      <c r="F140" s="24">
        <f t="shared" si="34"/>
        <v>0</v>
      </c>
      <c r="G140" s="23">
        <f t="shared" si="35"/>
        <v>0</v>
      </c>
      <c r="H140" s="24"/>
      <c r="I140" s="23">
        <f t="shared" si="36"/>
        <v>0</v>
      </c>
      <c r="J140" s="23">
        <f t="shared" si="37"/>
        <v>165.46488034400912</v>
      </c>
      <c r="K140" s="23">
        <f t="shared" si="38"/>
        <v>66143.832016354747</v>
      </c>
      <c r="L140" s="23">
        <f t="shared" si="39"/>
        <v>455.56805426706615</v>
      </c>
      <c r="M140" s="23">
        <f t="shared" ref="M140:M203" si="50">+$L$4</f>
        <v>0</v>
      </c>
      <c r="N140" s="23">
        <f t="shared" ref="N140:N203" si="51">(D140+F140)*0.3</f>
        <v>87.030952176917097</v>
      </c>
      <c r="O140" s="23">
        <f t="shared" ref="O140:O203" si="52">L140+M140-N140</f>
        <v>368.53710209014906</v>
      </c>
      <c r="P140" s="23">
        <f t="shared" ref="P140:P203" si="53">O140-E140+M140</f>
        <v>203.07222174613995</v>
      </c>
      <c r="Q140" s="23">
        <f t="shared" si="48"/>
        <v>127004.95964599391</v>
      </c>
      <c r="R140" s="25">
        <f t="shared" si="49"/>
        <v>2882.7006336931418</v>
      </c>
    </row>
    <row r="141" spans="2:18" x14ac:dyDescent="0.25">
      <c r="B141" s="22">
        <f t="shared" ref="B141:B204" si="54">+IF(K140&gt;1,IF(B140="","",B140+1),"")</f>
        <v>130</v>
      </c>
      <c r="C141" s="23">
        <f t="shared" ref="C141:C204" si="55">+IF(B141="","",K140)</f>
        <v>66143.832016354747</v>
      </c>
      <c r="D141" s="23">
        <f t="shared" ref="D141:D204" si="56">+IF(B141="",0,-IPMT($C$5/12,B141,$C$6,$C$7))</f>
        <v>289.37926507155197</v>
      </c>
      <c r="E141" s="23">
        <f t="shared" ref="E141:E204" si="57">+IF(B141="",0,-PPMT($C$5/12,B141,$C$6,$C$7))</f>
        <v>166.18878919551418</v>
      </c>
      <c r="F141" s="24">
        <f t="shared" ref="F141:F204" si="58">+IF(B141="",0,$G$4)</f>
        <v>0</v>
      </c>
      <c r="G141" s="23">
        <f t="shared" ref="G141:G204" si="59">+IF(B141="",0,IF(C141&lt;$C$4*0.8,0,$G$5))</f>
        <v>0</v>
      </c>
      <c r="H141" s="24"/>
      <c r="I141" s="23">
        <f t="shared" ref="I141:I204" si="60">0.35/100*$C$4/12*0</f>
        <v>0</v>
      </c>
      <c r="J141" s="23">
        <f t="shared" ref="J141:J204" si="61">+IF(B141="",0,E141+H141)</f>
        <v>166.18878919551418</v>
      </c>
      <c r="K141" s="23">
        <f t="shared" ref="K141:K204" si="62">+IF(B141="","",C141-J141)</f>
        <v>65977.643227159235</v>
      </c>
      <c r="L141" s="23">
        <f t="shared" ref="L141:L204" si="63">I141+H141+G141+F141+E141+D141</f>
        <v>455.56805426706615</v>
      </c>
      <c r="M141" s="23">
        <f t="shared" si="50"/>
        <v>0</v>
      </c>
      <c r="N141" s="23">
        <f t="shared" si="51"/>
        <v>86.813779521465591</v>
      </c>
      <c r="O141" s="23">
        <f t="shared" si="52"/>
        <v>368.75427474560058</v>
      </c>
      <c r="P141" s="23">
        <f t="shared" si="53"/>
        <v>202.56548555008641</v>
      </c>
      <c r="Q141" s="23">
        <f t="shared" si="48"/>
        <v>127004.95964599391</v>
      </c>
      <c r="R141" s="25">
        <f t="shared" si="49"/>
        <v>2882.7006336931418</v>
      </c>
    </row>
    <row r="142" spans="2:18" x14ac:dyDescent="0.25">
      <c r="B142" s="22">
        <f t="shared" si="54"/>
        <v>131</v>
      </c>
      <c r="C142" s="23">
        <f t="shared" si="55"/>
        <v>65977.643227159235</v>
      </c>
      <c r="D142" s="23">
        <f t="shared" si="56"/>
        <v>288.65218911882158</v>
      </c>
      <c r="E142" s="23">
        <f t="shared" si="57"/>
        <v>166.91586514824454</v>
      </c>
      <c r="F142" s="24">
        <f t="shared" si="58"/>
        <v>0</v>
      </c>
      <c r="G142" s="23">
        <f t="shared" si="59"/>
        <v>0</v>
      </c>
      <c r="H142" s="24"/>
      <c r="I142" s="23">
        <f t="shared" si="60"/>
        <v>0</v>
      </c>
      <c r="J142" s="23">
        <f t="shared" si="61"/>
        <v>166.91586514824454</v>
      </c>
      <c r="K142" s="23">
        <f t="shared" si="62"/>
        <v>65810.727362010992</v>
      </c>
      <c r="L142" s="23">
        <f t="shared" si="63"/>
        <v>455.56805426706615</v>
      </c>
      <c r="M142" s="23">
        <f t="shared" si="50"/>
        <v>0</v>
      </c>
      <c r="N142" s="23">
        <f t="shared" si="51"/>
        <v>86.595656735646472</v>
      </c>
      <c r="O142" s="23">
        <f t="shared" si="52"/>
        <v>368.97239753141969</v>
      </c>
      <c r="P142" s="23">
        <f t="shared" si="53"/>
        <v>202.05653238317515</v>
      </c>
      <c r="Q142" s="23">
        <f t="shared" si="48"/>
        <v>127004.95964599391</v>
      </c>
      <c r="R142" s="25">
        <f t="shared" si="49"/>
        <v>2882.7006336931418</v>
      </c>
    </row>
    <row r="143" spans="2:18" x14ac:dyDescent="0.25">
      <c r="B143" s="22">
        <f t="shared" si="54"/>
        <v>132</v>
      </c>
      <c r="C143" s="23">
        <f t="shared" si="55"/>
        <v>65810.727362010992</v>
      </c>
      <c r="D143" s="23">
        <f t="shared" si="56"/>
        <v>287.92193220879801</v>
      </c>
      <c r="E143" s="23">
        <f t="shared" si="57"/>
        <v>167.64612205826811</v>
      </c>
      <c r="F143" s="24">
        <f t="shared" si="58"/>
        <v>0</v>
      </c>
      <c r="G143" s="23">
        <f t="shared" si="59"/>
        <v>0</v>
      </c>
      <c r="H143" s="24"/>
      <c r="I143" s="23">
        <f t="shared" si="60"/>
        <v>0</v>
      </c>
      <c r="J143" s="23">
        <f t="shared" si="61"/>
        <v>167.64612205826811</v>
      </c>
      <c r="K143" s="23">
        <f t="shared" si="62"/>
        <v>65643.08123995272</v>
      </c>
      <c r="L143" s="23">
        <f t="shared" si="63"/>
        <v>455.56805426706615</v>
      </c>
      <c r="M143" s="23">
        <f t="shared" si="50"/>
        <v>0</v>
      </c>
      <c r="N143" s="23">
        <f t="shared" si="51"/>
        <v>86.376579662639401</v>
      </c>
      <c r="O143" s="23">
        <f t="shared" si="52"/>
        <v>369.19147460442673</v>
      </c>
      <c r="P143" s="23">
        <f t="shared" si="53"/>
        <v>201.54535254615863</v>
      </c>
      <c r="Q143" s="23">
        <f t="shared" si="48"/>
        <v>127004.95964599391</v>
      </c>
      <c r="R143" s="25">
        <f t="shared" si="49"/>
        <v>2882.7006336931418</v>
      </c>
    </row>
    <row r="144" spans="2:18" x14ac:dyDescent="0.25">
      <c r="B144" s="22">
        <f t="shared" si="54"/>
        <v>133</v>
      </c>
      <c r="C144" s="23">
        <f t="shared" si="55"/>
        <v>65643.08123995272</v>
      </c>
      <c r="D144" s="23">
        <f t="shared" si="56"/>
        <v>287.18848042479311</v>
      </c>
      <c r="E144" s="23">
        <f t="shared" si="57"/>
        <v>168.379573842273</v>
      </c>
      <c r="F144" s="24">
        <f t="shared" si="58"/>
        <v>0</v>
      </c>
      <c r="G144" s="23">
        <f t="shared" si="59"/>
        <v>0</v>
      </c>
      <c r="H144" s="24"/>
      <c r="I144" s="23">
        <f t="shared" si="60"/>
        <v>0</v>
      </c>
      <c r="J144" s="23">
        <f t="shared" si="61"/>
        <v>168.379573842273</v>
      </c>
      <c r="K144" s="23">
        <f t="shared" si="62"/>
        <v>65474.70166611045</v>
      </c>
      <c r="L144" s="23">
        <f t="shared" si="63"/>
        <v>455.56805426706615</v>
      </c>
      <c r="M144" s="23">
        <f t="shared" si="50"/>
        <v>0</v>
      </c>
      <c r="N144" s="23">
        <f t="shared" si="51"/>
        <v>86.156544127437925</v>
      </c>
      <c r="O144" s="23">
        <f t="shared" si="52"/>
        <v>369.41151013962821</v>
      </c>
      <c r="P144" s="23">
        <f t="shared" si="53"/>
        <v>201.0319362973552</v>
      </c>
      <c r="Q144" s="23">
        <f>$Q$143+ $Q$143*$L$8</f>
        <v>132085.15803183365</v>
      </c>
      <c r="R144" s="25">
        <f>$R$143 + ($R$143 * $S$5)</f>
        <v>2969.1816527039359</v>
      </c>
    </row>
    <row r="145" spans="2:18" x14ac:dyDescent="0.25">
      <c r="B145" s="22">
        <f t="shared" si="54"/>
        <v>134</v>
      </c>
      <c r="C145" s="23">
        <f t="shared" si="55"/>
        <v>65474.70166611045</v>
      </c>
      <c r="D145" s="23">
        <f t="shared" si="56"/>
        <v>286.45181978923318</v>
      </c>
      <c r="E145" s="23">
        <f t="shared" si="57"/>
        <v>169.11623447783296</v>
      </c>
      <c r="F145" s="24">
        <f t="shared" si="58"/>
        <v>0</v>
      </c>
      <c r="G145" s="23">
        <f t="shared" si="59"/>
        <v>0</v>
      </c>
      <c r="H145" s="24"/>
      <c r="I145" s="23">
        <f t="shared" si="60"/>
        <v>0</v>
      </c>
      <c r="J145" s="23">
        <f t="shared" si="61"/>
        <v>169.11623447783296</v>
      </c>
      <c r="K145" s="23">
        <f t="shared" si="62"/>
        <v>65305.585431632615</v>
      </c>
      <c r="L145" s="23">
        <f t="shared" si="63"/>
        <v>455.56805426706615</v>
      </c>
      <c r="M145" s="23">
        <f t="shared" si="50"/>
        <v>0</v>
      </c>
      <c r="N145" s="23">
        <f t="shared" si="51"/>
        <v>85.935545936769955</v>
      </c>
      <c r="O145" s="23">
        <f t="shared" si="52"/>
        <v>369.63250833029622</v>
      </c>
      <c r="P145" s="23">
        <f t="shared" si="53"/>
        <v>200.51627385246326</v>
      </c>
      <c r="Q145" s="23">
        <f t="shared" ref="Q145:Q155" si="64">$Q$143+ $Q$143*$L$8</f>
        <v>132085.15803183365</v>
      </c>
      <c r="R145" s="25">
        <f t="shared" ref="R145:R155" si="65">$R$143 + ($R$143 * $S$5)</f>
        <v>2969.1816527039359</v>
      </c>
    </row>
    <row r="146" spans="2:18" x14ac:dyDescent="0.25">
      <c r="B146" s="22">
        <f t="shared" si="54"/>
        <v>135</v>
      </c>
      <c r="C146" s="23">
        <f t="shared" si="55"/>
        <v>65305.585431632615</v>
      </c>
      <c r="D146" s="23">
        <f t="shared" si="56"/>
        <v>285.7119362633926</v>
      </c>
      <c r="E146" s="23">
        <f t="shared" si="57"/>
        <v>169.85611800367346</v>
      </c>
      <c r="F146" s="24">
        <f t="shared" si="58"/>
        <v>0</v>
      </c>
      <c r="G146" s="23">
        <f t="shared" si="59"/>
        <v>0</v>
      </c>
      <c r="H146" s="24"/>
      <c r="I146" s="23">
        <f t="shared" si="60"/>
        <v>0</v>
      </c>
      <c r="J146" s="23">
        <f t="shared" si="61"/>
        <v>169.85611800367346</v>
      </c>
      <c r="K146" s="23">
        <f t="shared" si="62"/>
        <v>65135.729313628945</v>
      </c>
      <c r="L146" s="23">
        <f t="shared" si="63"/>
        <v>455.56805426706603</v>
      </c>
      <c r="M146" s="23">
        <f t="shared" si="50"/>
        <v>0</v>
      </c>
      <c r="N146" s="23">
        <f t="shared" si="51"/>
        <v>85.713580879017783</v>
      </c>
      <c r="O146" s="23">
        <f t="shared" si="52"/>
        <v>369.85447338804823</v>
      </c>
      <c r="P146" s="23">
        <f t="shared" si="53"/>
        <v>199.99835538437478</v>
      </c>
      <c r="Q146" s="23">
        <f t="shared" si="64"/>
        <v>132085.15803183365</v>
      </c>
      <c r="R146" s="25">
        <f t="shared" si="65"/>
        <v>2969.1816527039359</v>
      </c>
    </row>
    <row r="147" spans="2:18" x14ac:dyDescent="0.25">
      <c r="B147" s="22">
        <f t="shared" si="54"/>
        <v>136</v>
      </c>
      <c r="C147" s="23">
        <f t="shared" si="55"/>
        <v>65135.729313628945</v>
      </c>
      <c r="D147" s="23">
        <f t="shared" si="56"/>
        <v>284.96881574712654</v>
      </c>
      <c r="E147" s="23">
        <f t="shared" si="57"/>
        <v>170.59923851993958</v>
      </c>
      <c r="F147" s="24">
        <f t="shared" si="58"/>
        <v>0</v>
      </c>
      <c r="G147" s="23">
        <f t="shared" si="59"/>
        <v>0</v>
      </c>
      <c r="H147" s="24"/>
      <c r="I147" s="23">
        <f t="shared" si="60"/>
        <v>0</v>
      </c>
      <c r="J147" s="23">
        <f t="shared" si="61"/>
        <v>170.59923851993958</v>
      </c>
      <c r="K147" s="23">
        <f t="shared" si="62"/>
        <v>64965.130075109002</v>
      </c>
      <c r="L147" s="23">
        <f t="shared" si="63"/>
        <v>455.56805426706615</v>
      </c>
      <c r="M147" s="23">
        <f t="shared" si="50"/>
        <v>0</v>
      </c>
      <c r="N147" s="23">
        <f t="shared" si="51"/>
        <v>85.490644724137965</v>
      </c>
      <c r="O147" s="23">
        <f t="shared" si="52"/>
        <v>370.07740954292819</v>
      </c>
      <c r="P147" s="23">
        <f t="shared" si="53"/>
        <v>199.47817102298862</v>
      </c>
      <c r="Q147" s="23">
        <f t="shared" si="64"/>
        <v>132085.15803183365</v>
      </c>
      <c r="R147" s="25">
        <f t="shared" si="65"/>
        <v>2969.1816527039359</v>
      </c>
    </row>
    <row r="148" spans="2:18" x14ac:dyDescent="0.25">
      <c r="B148" s="22">
        <f t="shared" si="54"/>
        <v>137</v>
      </c>
      <c r="C148" s="23">
        <f t="shared" si="55"/>
        <v>64965.130075109002</v>
      </c>
      <c r="D148" s="23">
        <f t="shared" si="56"/>
        <v>284.22244407860188</v>
      </c>
      <c r="E148" s="23">
        <f t="shared" si="57"/>
        <v>171.34561018846429</v>
      </c>
      <c r="F148" s="24">
        <f t="shared" si="58"/>
        <v>0</v>
      </c>
      <c r="G148" s="23">
        <f t="shared" si="59"/>
        <v>0</v>
      </c>
      <c r="H148" s="24"/>
      <c r="I148" s="23">
        <f t="shared" si="60"/>
        <v>0</v>
      </c>
      <c r="J148" s="23">
        <f t="shared" si="61"/>
        <v>171.34561018846429</v>
      </c>
      <c r="K148" s="23">
        <f t="shared" si="62"/>
        <v>64793.784464920536</v>
      </c>
      <c r="L148" s="23">
        <f t="shared" si="63"/>
        <v>455.56805426706615</v>
      </c>
      <c r="M148" s="23">
        <f t="shared" si="50"/>
        <v>0</v>
      </c>
      <c r="N148" s="23">
        <f t="shared" si="51"/>
        <v>85.266733223580559</v>
      </c>
      <c r="O148" s="23">
        <f t="shared" si="52"/>
        <v>370.30132104348559</v>
      </c>
      <c r="P148" s="23">
        <f t="shared" si="53"/>
        <v>198.95571085502129</v>
      </c>
      <c r="Q148" s="23">
        <f t="shared" si="64"/>
        <v>132085.15803183365</v>
      </c>
      <c r="R148" s="25">
        <f t="shared" si="65"/>
        <v>2969.1816527039359</v>
      </c>
    </row>
    <row r="149" spans="2:18" x14ac:dyDescent="0.25">
      <c r="B149" s="22">
        <f t="shared" si="54"/>
        <v>138</v>
      </c>
      <c r="C149" s="23">
        <f t="shared" si="55"/>
        <v>64793.784464920536</v>
      </c>
      <c r="D149" s="23">
        <f t="shared" si="56"/>
        <v>283.47280703402731</v>
      </c>
      <c r="E149" s="23">
        <f t="shared" si="57"/>
        <v>172.09524723303883</v>
      </c>
      <c r="F149" s="24">
        <f t="shared" si="58"/>
        <v>0</v>
      </c>
      <c r="G149" s="23">
        <f t="shared" si="59"/>
        <v>0</v>
      </c>
      <c r="H149" s="24"/>
      <c r="I149" s="23">
        <f t="shared" si="60"/>
        <v>0</v>
      </c>
      <c r="J149" s="23">
        <f t="shared" si="61"/>
        <v>172.09524723303883</v>
      </c>
      <c r="K149" s="23">
        <f t="shared" si="62"/>
        <v>64621.689217687497</v>
      </c>
      <c r="L149" s="23">
        <f t="shared" si="63"/>
        <v>455.56805426706615</v>
      </c>
      <c r="M149" s="23">
        <f t="shared" si="50"/>
        <v>0</v>
      </c>
      <c r="N149" s="23">
        <f t="shared" si="51"/>
        <v>85.041842110208194</v>
      </c>
      <c r="O149" s="23">
        <f t="shared" si="52"/>
        <v>370.52621215685792</v>
      </c>
      <c r="P149" s="23">
        <f t="shared" si="53"/>
        <v>198.43096492381909</v>
      </c>
      <c r="Q149" s="23">
        <f t="shared" si="64"/>
        <v>132085.15803183365</v>
      </c>
      <c r="R149" s="25">
        <f t="shared" si="65"/>
        <v>2969.1816527039359</v>
      </c>
    </row>
    <row r="150" spans="2:18" x14ac:dyDescent="0.25">
      <c r="B150" s="22">
        <f t="shared" si="54"/>
        <v>139</v>
      </c>
      <c r="C150" s="23">
        <f t="shared" si="55"/>
        <v>64621.689217687497</v>
      </c>
      <c r="D150" s="23">
        <f t="shared" si="56"/>
        <v>282.71989032738276</v>
      </c>
      <c r="E150" s="23">
        <f t="shared" si="57"/>
        <v>172.84816393968339</v>
      </c>
      <c r="F150" s="24">
        <f t="shared" si="58"/>
        <v>0</v>
      </c>
      <c r="G150" s="23">
        <f t="shared" si="59"/>
        <v>0</v>
      </c>
      <c r="H150" s="24"/>
      <c r="I150" s="23">
        <f t="shared" si="60"/>
        <v>0</v>
      </c>
      <c r="J150" s="23">
        <f t="shared" si="61"/>
        <v>172.84816393968339</v>
      </c>
      <c r="K150" s="23">
        <f t="shared" si="62"/>
        <v>64448.841053747812</v>
      </c>
      <c r="L150" s="23">
        <f t="shared" si="63"/>
        <v>455.56805426706615</v>
      </c>
      <c r="M150" s="23">
        <f t="shared" si="50"/>
        <v>0</v>
      </c>
      <c r="N150" s="23">
        <f t="shared" si="51"/>
        <v>84.815967098214827</v>
      </c>
      <c r="O150" s="23">
        <f t="shared" si="52"/>
        <v>370.75208716885129</v>
      </c>
      <c r="P150" s="23">
        <f t="shared" si="53"/>
        <v>197.9039232291679</v>
      </c>
      <c r="Q150" s="23">
        <f t="shared" si="64"/>
        <v>132085.15803183365</v>
      </c>
      <c r="R150" s="25">
        <f t="shared" si="65"/>
        <v>2969.1816527039359</v>
      </c>
    </row>
    <row r="151" spans="2:18" x14ac:dyDescent="0.25">
      <c r="B151" s="22">
        <f t="shared" si="54"/>
        <v>140</v>
      </c>
      <c r="C151" s="23">
        <f t="shared" si="55"/>
        <v>64448.841053747812</v>
      </c>
      <c r="D151" s="23">
        <f t="shared" si="56"/>
        <v>281.96367961014664</v>
      </c>
      <c r="E151" s="23">
        <f t="shared" si="57"/>
        <v>173.6043746569195</v>
      </c>
      <c r="F151" s="24">
        <f t="shared" si="58"/>
        <v>0</v>
      </c>
      <c r="G151" s="23">
        <f t="shared" si="59"/>
        <v>0</v>
      </c>
      <c r="H151" s="24"/>
      <c r="I151" s="23">
        <f t="shared" si="60"/>
        <v>0</v>
      </c>
      <c r="J151" s="23">
        <f t="shared" si="61"/>
        <v>173.6043746569195</v>
      </c>
      <c r="K151" s="23">
        <f t="shared" si="62"/>
        <v>64275.236679090893</v>
      </c>
      <c r="L151" s="23">
        <f t="shared" si="63"/>
        <v>455.56805426706615</v>
      </c>
      <c r="M151" s="23">
        <f t="shared" si="50"/>
        <v>0</v>
      </c>
      <c r="N151" s="23">
        <f t="shared" si="51"/>
        <v>84.58910388304399</v>
      </c>
      <c r="O151" s="23">
        <f t="shared" si="52"/>
        <v>370.97895038402214</v>
      </c>
      <c r="P151" s="23">
        <f t="shared" si="53"/>
        <v>197.37457572710264</v>
      </c>
      <c r="Q151" s="23">
        <f t="shared" si="64"/>
        <v>132085.15803183365</v>
      </c>
      <c r="R151" s="25">
        <f t="shared" si="65"/>
        <v>2969.1816527039359</v>
      </c>
    </row>
    <row r="152" spans="2:18" x14ac:dyDescent="0.25">
      <c r="B152" s="22">
        <f t="shared" si="54"/>
        <v>141</v>
      </c>
      <c r="C152" s="23">
        <f t="shared" si="55"/>
        <v>64275.236679090893</v>
      </c>
      <c r="D152" s="23">
        <f t="shared" si="56"/>
        <v>281.20416047102265</v>
      </c>
      <c r="E152" s="23">
        <f t="shared" si="57"/>
        <v>174.3638937960435</v>
      </c>
      <c r="F152" s="24">
        <f t="shared" si="58"/>
        <v>0</v>
      </c>
      <c r="G152" s="23">
        <f t="shared" si="59"/>
        <v>0</v>
      </c>
      <c r="H152" s="24"/>
      <c r="I152" s="23">
        <f t="shared" si="60"/>
        <v>0</v>
      </c>
      <c r="J152" s="23">
        <f t="shared" si="61"/>
        <v>174.3638937960435</v>
      </c>
      <c r="K152" s="23">
        <f t="shared" si="62"/>
        <v>64100.87278529485</v>
      </c>
      <c r="L152" s="23">
        <f t="shared" si="63"/>
        <v>455.56805426706615</v>
      </c>
      <c r="M152" s="23">
        <f t="shared" si="50"/>
        <v>0</v>
      </c>
      <c r="N152" s="23">
        <f t="shared" si="51"/>
        <v>84.361248141306788</v>
      </c>
      <c r="O152" s="23">
        <f t="shared" si="52"/>
        <v>371.20680612575939</v>
      </c>
      <c r="P152" s="23">
        <f t="shared" si="53"/>
        <v>196.84291232971589</v>
      </c>
      <c r="Q152" s="23">
        <f t="shared" si="64"/>
        <v>132085.15803183365</v>
      </c>
      <c r="R152" s="25">
        <f t="shared" si="65"/>
        <v>2969.1816527039359</v>
      </c>
    </row>
    <row r="153" spans="2:18" x14ac:dyDescent="0.25">
      <c r="B153" s="22">
        <f t="shared" si="54"/>
        <v>142</v>
      </c>
      <c r="C153" s="23">
        <f t="shared" si="55"/>
        <v>64100.87278529485</v>
      </c>
      <c r="D153" s="23">
        <f t="shared" si="56"/>
        <v>280.44131843566493</v>
      </c>
      <c r="E153" s="23">
        <f t="shared" si="57"/>
        <v>175.12673583140122</v>
      </c>
      <c r="F153" s="24">
        <f t="shared" si="58"/>
        <v>0</v>
      </c>
      <c r="G153" s="23">
        <f t="shared" si="59"/>
        <v>0</v>
      </c>
      <c r="H153" s="24"/>
      <c r="I153" s="23">
        <f t="shared" si="60"/>
        <v>0</v>
      </c>
      <c r="J153" s="23">
        <f t="shared" si="61"/>
        <v>175.12673583140122</v>
      </c>
      <c r="K153" s="23">
        <f t="shared" si="62"/>
        <v>63925.746049463451</v>
      </c>
      <c r="L153" s="23">
        <f t="shared" si="63"/>
        <v>455.56805426706615</v>
      </c>
      <c r="M153" s="23">
        <f t="shared" si="50"/>
        <v>0</v>
      </c>
      <c r="N153" s="23">
        <f t="shared" si="51"/>
        <v>84.132395530699469</v>
      </c>
      <c r="O153" s="23">
        <f t="shared" si="52"/>
        <v>371.43565873636669</v>
      </c>
      <c r="P153" s="23">
        <f t="shared" si="53"/>
        <v>196.30892290496547</v>
      </c>
      <c r="Q153" s="23">
        <f t="shared" si="64"/>
        <v>132085.15803183365</v>
      </c>
      <c r="R153" s="25">
        <f t="shared" si="65"/>
        <v>2969.1816527039359</v>
      </c>
    </row>
    <row r="154" spans="2:18" x14ac:dyDescent="0.25">
      <c r="B154" s="22">
        <f t="shared" si="54"/>
        <v>143</v>
      </c>
      <c r="C154" s="23">
        <f t="shared" si="55"/>
        <v>63925.746049463451</v>
      </c>
      <c r="D154" s="23">
        <f t="shared" si="56"/>
        <v>279.67513896640253</v>
      </c>
      <c r="E154" s="23">
        <f t="shared" si="57"/>
        <v>175.89291530066359</v>
      </c>
      <c r="F154" s="24">
        <f t="shared" si="58"/>
        <v>0</v>
      </c>
      <c r="G154" s="23">
        <f t="shared" si="59"/>
        <v>0</v>
      </c>
      <c r="H154" s="24"/>
      <c r="I154" s="23">
        <f t="shared" si="60"/>
        <v>0</v>
      </c>
      <c r="J154" s="23">
        <f t="shared" si="61"/>
        <v>175.89291530066359</v>
      </c>
      <c r="K154" s="23">
        <f t="shared" si="62"/>
        <v>63749.85313416279</v>
      </c>
      <c r="L154" s="23">
        <f t="shared" si="63"/>
        <v>455.56805426706615</v>
      </c>
      <c r="M154" s="23">
        <f t="shared" si="50"/>
        <v>0</v>
      </c>
      <c r="N154" s="23">
        <f t="shared" si="51"/>
        <v>83.902541689920753</v>
      </c>
      <c r="O154" s="23">
        <f t="shared" si="52"/>
        <v>371.66551257714536</v>
      </c>
      <c r="P154" s="23">
        <f t="shared" si="53"/>
        <v>195.77259727648178</v>
      </c>
      <c r="Q154" s="23">
        <f t="shared" si="64"/>
        <v>132085.15803183365</v>
      </c>
      <c r="R154" s="25">
        <f t="shared" si="65"/>
        <v>2969.1816527039359</v>
      </c>
    </row>
    <row r="155" spans="2:18" x14ac:dyDescent="0.25">
      <c r="B155" s="22">
        <f t="shared" si="54"/>
        <v>144</v>
      </c>
      <c r="C155" s="23">
        <f t="shared" si="55"/>
        <v>63749.85313416279</v>
      </c>
      <c r="D155" s="23">
        <f t="shared" si="56"/>
        <v>278.90560746196218</v>
      </c>
      <c r="E155" s="23">
        <f t="shared" si="57"/>
        <v>176.66244680510397</v>
      </c>
      <c r="F155" s="24">
        <f t="shared" si="58"/>
        <v>0</v>
      </c>
      <c r="G155" s="23">
        <f t="shared" si="59"/>
        <v>0</v>
      </c>
      <c r="H155" s="24"/>
      <c r="I155" s="23">
        <f t="shared" si="60"/>
        <v>0</v>
      </c>
      <c r="J155" s="23">
        <f t="shared" si="61"/>
        <v>176.66244680510397</v>
      </c>
      <c r="K155" s="23">
        <f t="shared" si="62"/>
        <v>63573.190687357688</v>
      </c>
      <c r="L155" s="23">
        <f t="shared" si="63"/>
        <v>455.56805426706615</v>
      </c>
      <c r="M155" s="23">
        <f t="shared" si="50"/>
        <v>0</v>
      </c>
      <c r="N155" s="23">
        <f t="shared" si="51"/>
        <v>83.671682238588645</v>
      </c>
      <c r="O155" s="23">
        <f t="shared" si="52"/>
        <v>371.89637202847751</v>
      </c>
      <c r="P155" s="23">
        <f t="shared" si="53"/>
        <v>195.23392522337355</v>
      </c>
      <c r="Q155" s="23">
        <f t="shared" si="64"/>
        <v>132085.15803183365</v>
      </c>
      <c r="R155" s="25">
        <f t="shared" si="65"/>
        <v>2969.1816527039359</v>
      </c>
    </row>
    <row r="156" spans="2:18" x14ac:dyDescent="0.25">
      <c r="B156" s="22">
        <f t="shared" si="54"/>
        <v>145</v>
      </c>
      <c r="C156" s="23">
        <f t="shared" si="55"/>
        <v>63573.190687357688</v>
      </c>
      <c r="D156" s="23">
        <f t="shared" si="56"/>
        <v>278.13270925718979</v>
      </c>
      <c r="E156" s="23">
        <f t="shared" si="57"/>
        <v>177.4353450098763</v>
      </c>
      <c r="F156" s="24">
        <f t="shared" si="58"/>
        <v>0</v>
      </c>
      <c r="G156" s="23">
        <f t="shared" si="59"/>
        <v>0</v>
      </c>
      <c r="H156" s="24"/>
      <c r="I156" s="23">
        <f t="shared" si="60"/>
        <v>0</v>
      </c>
      <c r="J156" s="23">
        <f t="shared" si="61"/>
        <v>177.4353450098763</v>
      </c>
      <c r="K156" s="23">
        <f t="shared" si="62"/>
        <v>63395.755342347809</v>
      </c>
      <c r="L156" s="23">
        <f t="shared" si="63"/>
        <v>455.56805426706609</v>
      </c>
      <c r="M156" s="23">
        <f t="shared" si="50"/>
        <v>0</v>
      </c>
      <c r="N156" s="23">
        <f t="shared" si="51"/>
        <v>83.439812777156931</v>
      </c>
      <c r="O156" s="23">
        <f t="shared" si="52"/>
        <v>372.12824148990916</v>
      </c>
      <c r="P156" s="23">
        <f t="shared" si="53"/>
        <v>194.69289648003286</v>
      </c>
      <c r="Q156" s="23">
        <f>$Q$155+ $Q$155*$L$8</f>
        <v>137368.56435310701</v>
      </c>
      <c r="R156" s="25">
        <f>$R$155 + ($R$155 * $S$5)</f>
        <v>3058.2571022850539</v>
      </c>
    </row>
    <row r="157" spans="2:18" x14ac:dyDescent="0.25">
      <c r="B157" s="22">
        <f t="shared" si="54"/>
        <v>146</v>
      </c>
      <c r="C157" s="23">
        <f t="shared" si="55"/>
        <v>63395.755342347809</v>
      </c>
      <c r="D157" s="23">
        <f t="shared" si="56"/>
        <v>277.35642962277166</v>
      </c>
      <c r="E157" s="23">
        <f t="shared" si="57"/>
        <v>178.21162464429455</v>
      </c>
      <c r="F157" s="24">
        <f t="shared" si="58"/>
        <v>0</v>
      </c>
      <c r="G157" s="23">
        <f t="shared" si="59"/>
        <v>0</v>
      </c>
      <c r="H157" s="24"/>
      <c r="I157" s="23">
        <f t="shared" si="60"/>
        <v>0</v>
      </c>
      <c r="J157" s="23">
        <f t="shared" si="61"/>
        <v>178.21162464429455</v>
      </c>
      <c r="K157" s="23">
        <f t="shared" si="62"/>
        <v>63217.543717703513</v>
      </c>
      <c r="L157" s="23">
        <f t="shared" si="63"/>
        <v>455.5680542670662</v>
      </c>
      <c r="M157" s="23">
        <f t="shared" si="50"/>
        <v>0</v>
      </c>
      <c r="N157" s="23">
        <f t="shared" si="51"/>
        <v>83.206928886831491</v>
      </c>
      <c r="O157" s="23">
        <f t="shared" si="52"/>
        <v>372.36112538023474</v>
      </c>
      <c r="P157" s="23">
        <f t="shared" si="53"/>
        <v>194.14950073594019</v>
      </c>
      <c r="Q157" s="23">
        <f t="shared" ref="Q157:Q167" si="66">$Q$155+ $Q$155*$L$8</f>
        <v>137368.56435310701</v>
      </c>
      <c r="R157" s="25">
        <f t="shared" ref="R157:R167" si="67">$R$155 + ($R$155 * $S$5)</f>
        <v>3058.2571022850539</v>
      </c>
    </row>
    <row r="158" spans="2:18" x14ac:dyDescent="0.25">
      <c r="B158" s="22">
        <f t="shared" si="54"/>
        <v>147</v>
      </c>
      <c r="C158" s="23">
        <f t="shared" si="55"/>
        <v>63217.543717703513</v>
      </c>
      <c r="D158" s="23">
        <f t="shared" si="56"/>
        <v>276.5767537649528</v>
      </c>
      <c r="E158" s="23">
        <f t="shared" si="57"/>
        <v>178.99130050211332</v>
      </c>
      <c r="F158" s="24">
        <f t="shared" si="58"/>
        <v>0</v>
      </c>
      <c r="G158" s="23">
        <f t="shared" si="59"/>
        <v>0</v>
      </c>
      <c r="H158" s="24"/>
      <c r="I158" s="23">
        <f t="shared" si="60"/>
        <v>0</v>
      </c>
      <c r="J158" s="23">
        <f t="shared" si="61"/>
        <v>178.99130050211332</v>
      </c>
      <c r="K158" s="23">
        <f t="shared" si="62"/>
        <v>63038.552417201397</v>
      </c>
      <c r="L158" s="23">
        <f t="shared" si="63"/>
        <v>455.56805426706615</v>
      </c>
      <c r="M158" s="23">
        <f t="shared" si="50"/>
        <v>0</v>
      </c>
      <c r="N158" s="23">
        <f t="shared" si="51"/>
        <v>82.973026129485831</v>
      </c>
      <c r="O158" s="23">
        <f t="shared" si="52"/>
        <v>372.5950281375803</v>
      </c>
      <c r="P158" s="23">
        <f t="shared" si="53"/>
        <v>193.60372763546698</v>
      </c>
      <c r="Q158" s="23">
        <f t="shared" si="66"/>
        <v>137368.56435310701</v>
      </c>
      <c r="R158" s="25">
        <f t="shared" si="67"/>
        <v>3058.2571022850539</v>
      </c>
    </row>
    <row r="159" spans="2:18" x14ac:dyDescent="0.25">
      <c r="B159" s="22">
        <f t="shared" si="54"/>
        <v>148</v>
      </c>
      <c r="C159" s="23">
        <f t="shared" si="55"/>
        <v>63038.552417201397</v>
      </c>
      <c r="D159" s="23">
        <f t="shared" si="56"/>
        <v>275.79366682525603</v>
      </c>
      <c r="E159" s="23">
        <f t="shared" si="57"/>
        <v>179.77438744181003</v>
      </c>
      <c r="F159" s="24">
        <f t="shared" si="58"/>
        <v>0</v>
      </c>
      <c r="G159" s="23">
        <f t="shared" si="59"/>
        <v>0</v>
      </c>
      <c r="H159" s="24"/>
      <c r="I159" s="23">
        <f t="shared" si="60"/>
        <v>0</v>
      </c>
      <c r="J159" s="23">
        <f t="shared" si="61"/>
        <v>179.77438744181003</v>
      </c>
      <c r="K159" s="23">
        <f t="shared" si="62"/>
        <v>62858.778029759589</v>
      </c>
      <c r="L159" s="23">
        <f t="shared" si="63"/>
        <v>455.56805426706603</v>
      </c>
      <c r="M159" s="23">
        <f t="shared" si="50"/>
        <v>0</v>
      </c>
      <c r="N159" s="23">
        <f t="shared" si="51"/>
        <v>82.738100047576808</v>
      </c>
      <c r="O159" s="23">
        <f t="shared" si="52"/>
        <v>372.8299542194892</v>
      </c>
      <c r="P159" s="23">
        <f t="shared" si="53"/>
        <v>193.05556677767916</v>
      </c>
      <c r="Q159" s="23">
        <f t="shared" si="66"/>
        <v>137368.56435310701</v>
      </c>
      <c r="R159" s="25">
        <f t="shared" si="67"/>
        <v>3058.2571022850539</v>
      </c>
    </row>
    <row r="160" spans="2:18" x14ac:dyDescent="0.25">
      <c r="B160" s="22">
        <f t="shared" si="54"/>
        <v>149</v>
      </c>
      <c r="C160" s="23">
        <f t="shared" si="55"/>
        <v>62858.778029759589</v>
      </c>
      <c r="D160" s="23">
        <f t="shared" si="56"/>
        <v>275.00715388019813</v>
      </c>
      <c r="E160" s="23">
        <f t="shared" si="57"/>
        <v>180.56090038686798</v>
      </c>
      <c r="F160" s="24">
        <f t="shared" si="58"/>
        <v>0</v>
      </c>
      <c r="G160" s="23">
        <f t="shared" si="59"/>
        <v>0</v>
      </c>
      <c r="H160" s="24"/>
      <c r="I160" s="23">
        <f t="shared" si="60"/>
        <v>0</v>
      </c>
      <c r="J160" s="23">
        <f t="shared" si="61"/>
        <v>180.56090038686798</v>
      </c>
      <c r="K160" s="23">
        <f t="shared" si="62"/>
        <v>62678.217129372722</v>
      </c>
      <c r="L160" s="23">
        <f t="shared" si="63"/>
        <v>455.56805426706615</v>
      </c>
      <c r="M160" s="23">
        <f t="shared" si="50"/>
        <v>0</v>
      </c>
      <c r="N160" s="23">
        <f t="shared" si="51"/>
        <v>82.50214616405944</v>
      </c>
      <c r="O160" s="23">
        <f t="shared" si="52"/>
        <v>373.06590810300668</v>
      </c>
      <c r="P160" s="23">
        <f t="shared" si="53"/>
        <v>192.50500771613869</v>
      </c>
      <c r="Q160" s="23">
        <f t="shared" si="66"/>
        <v>137368.56435310701</v>
      </c>
      <c r="R160" s="25">
        <f t="shared" si="67"/>
        <v>3058.2571022850539</v>
      </c>
    </row>
    <row r="161" spans="2:18" x14ac:dyDescent="0.25">
      <c r="B161" s="22">
        <f t="shared" si="54"/>
        <v>150</v>
      </c>
      <c r="C161" s="23">
        <f t="shared" si="55"/>
        <v>62678.217129372722</v>
      </c>
      <c r="D161" s="23">
        <f t="shared" si="56"/>
        <v>274.21719994100562</v>
      </c>
      <c r="E161" s="23">
        <f t="shared" si="57"/>
        <v>181.35085432606053</v>
      </c>
      <c r="F161" s="24">
        <f t="shared" si="58"/>
        <v>0</v>
      </c>
      <c r="G161" s="23">
        <f t="shared" si="59"/>
        <v>0</v>
      </c>
      <c r="H161" s="24"/>
      <c r="I161" s="23">
        <f t="shared" si="60"/>
        <v>0</v>
      </c>
      <c r="J161" s="23">
        <f t="shared" si="61"/>
        <v>181.35085432606053</v>
      </c>
      <c r="K161" s="23">
        <f t="shared" si="62"/>
        <v>62496.866275046661</v>
      </c>
      <c r="L161" s="23">
        <f t="shared" si="63"/>
        <v>455.56805426706615</v>
      </c>
      <c r="M161" s="23">
        <f t="shared" si="50"/>
        <v>0</v>
      </c>
      <c r="N161" s="23">
        <f t="shared" si="51"/>
        <v>82.265159982301682</v>
      </c>
      <c r="O161" s="23">
        <f t="shared" si="52"/>
        <v>373.30289428476448</v>
      </c>
      <c r="P161" s="23">
        <f t="shared" si="53"/>
        <v>191.95203995870395</v>
      </c>
      <c r="Q161" s="23">
        <f t="shared" si="66"/>
        <v>137368.56435310701</v>
      </c>
      <c r="R161" s="25">
        <f t="shared" si="67"/>
        <v>3058.2571022850539</v>
      </c>
    </row>
    <row r="162" spans="2:18" x14ac:dyDescent="0.25">
      <c r="B162" s="22">
        <f t="shared" si="54"/>
        <v>151</v>
      </c>
      <c r="C162" s="23">
        <f t="shared" si="55"/>
        <v>62496.866275046661</v>
      </c>
      <c r="D162" s="23">
        <f t="shared" si="56"/>
        <v>273.42378995332905</v>
      </c>
      <c r="E162" s="23">
        <f t="shared" si="57"/>
        <v>182.14426431373704</v>
      </c>
      <c r="F162" s="24">
        <f t="shared" si="58"/>
        <v>0</v>
      </c>
      <c r="G162" s="23">
        <f t="shared" si="59"/>
        <v>0</v>
      </c>
      <c r="H162" s="24"/>
      <c r="I162" s="23">
        <f t="shared" si="60"/>
        <v>0</v>
      </c>
      <c r="J162" s="23">
        <f t="shared" si="61"/>
        <v>182.14426431373704</v>
      </c>
      <c r="K162" s="23">
        <f t="shared" si="62"/>
        <v>62314.722010732927</v>
      </c>
      <c r="L162" s="23">
        <f t="shared" si="63"/>
        <v>455.56805426706609</v>
      </c>
      <c r="M162" s="23">
        <f t="shared" si="50"/>
        <v>0</v>
      </c>
      <c r="N162" s="23">
        <f t="shared" si="51"/>
        <v>82.027136985998709</v>
      </c>
      <c r="O162" s="23">
        <f t="shared" si="52"/>
        <v>373.54091728106738</v>
      </c>
      <c r="P162" s="23">
        <f t="shared" si="53"/>
        <v>191.39665296733034</v>
      </c>
      <c r="Q162" s="23">
        <f t="shared" si="66"/>
        <v>137368.56435310701</v>
      </c>
      <c r="R162" s="25">
        <f t="shared" si="67"/>
        <v>3058.2571022850539</v>
      </c>
    </row>
    <row r="163" spans="2:18" x14ac:dyDescent="0.25">
      <c r="B163" s="22">
        <f t="shared" si="54"/>
        <v>152</v>
      </c>
      <c r="C163" s="23">
        <f t="shared" si="55"/>
        <v>62314.722010732927</v>
      </c>
      <c r="D163" s="23">
        <f t="shared" si="56"/>
        <v>272.62690879695651</v>
      </c>
      <c r="E163" s="23">
        <f t="shared" si="57"/>
        <v>182.94114547010963</v>
      </c>
      <c r="F163" s="24">
        <f t="shared" si="58"/>
        <v>0</v>
      </c>
      <c r="G163" s="23">
        <f t="shared" si="59"/>
        <v>0</v>
      </c>
      <c r="H163" s="24"/>
      <c r="I163" s="23">
        <f t="shared" si="60"/>
        <v>0</v>
      </c>
      <c r="J163" s="23">
        <f t="shared" si="61"/>
        <v>182.94114547010963</v>
      </c>
      <c r="K163" s="23">
        <f t="shared" si="62"/>
        <v>62131.780865262815</v>
      </c>
      <c r="L163" s="23">
        <f t="shared" si="63"/>
        <v>455.56805426706615</v>
      </c>
      <c r="M163" s="23">
        <f t="shared" si="50"/>
        <v>0</v>
      </c>
      <c r="N163" s="23">
        <f t="shared" si="51"/>
        <v>81.788072639086948</v>
      </c>
      <c r="O163" s="23">
        <f t="shared" si="52"/>
        <v>373.77998162797917</v>
      </c>
      <c r="P163" s="23">
        <f t="shared" si="53"/>
        <v>190.83883615786954</v>
      </c>
      <c r="Q163" s="23">
        <f t="shared" si="66"/>
        <v>137368.56435310701</v>
      </c>
      <c r="R163" s="25">
        <f t="shared" si="67"/>
        <v>3058.2571022850539</v>
      </c>
    </row>
    <row r="164" spans="2:18" x14ac:dyDescent="0.25">
      <c r="B164" s="22">
        <f t="shared" si="54"/>
        <v>153</v>
      </c>
      <c r="C164" s="23">
        <f t="shared" si="55"/>
        <v>62131.780865262815</v>
      </c>
      <c r="D164" s="23">
        <f t="shared" si="56"/>
        <v>271.82654128552474</v>
      </c>
      <c r="E164" s="23">
        <f t="shared" si="57"/>
        <v>183.74151298154138</v>
      </c>
      <c r="F164" s="24">
        <f t="shared" si="58"/>
        <v>0</v>
      </c>
      <c r="G164" s="23">
        <f t="shared" si="59"/>
        <v>0</v>
      </c>
      <c r="H164" s="24"/>
      <c r="I164" s="23">
        <f t="shared" si="60"/>
        <v>0</v>
      </c>
      <c r="J164" s="23">
        <f t="shared" si="61"/>
        <v>183.74151298154138</v>
      </c>
      <c r="K164" s="23">
        <f t="shared" si="62"/>
        <v>61948.039352281274</v>
      </c>
      <c r="L164" s="23">
        <f t="shared" si="63"/>
        <v>455.56805426706615</v>
      </c>
      <c r="M164" s="23">
        <f t="shared" si="50"/>
        <v>0</v>
      </c>
      <c r="N164" s="23">
        <f t="shared" si="51"/>
        <v>81.547962385657414</v>
      </c>
      <c r="O164" s="23">
        <f t="shared" si="52"/>
        <v>374.02009188140875</v>
      </c>
      <c r="P164" s="23">
        <f t="shared" si="53"/>
        <v>190.27857889986737</v>
      </c>
      <c r="Q164" s="23">
        <f t="shared" si="66"/>
        <v>137368.56435310701</v>
      </c>
      <c r="R164" s="25">
        <f t="shared" si="67"/>
        <v>3058.2571022850539</v>
      </c>
    </row>
    <row r="165" spans="2:18" x14ac:dyDescent="0.25">
      <c r="B165" s="22">
        <f t="shared" si="54"/>
        <v>154</v>
      </c>
      <c r="C165" s="23">
        <f t="shared" si="55"/>
        <v>61948.039352281274</v>
      </c>
      <c r="D165" s="23">
        <f t="shared" si="56"/>
        <v>271.02267216623045</v>
      </c>
      <c r="E165" s="23">
        <f t="shared" si="57"/>
        <v>184.54538210083558</v>
      </c>
      <c r="F165" s="24">
        <f t="shared" si="58"/>
        <v>0</v>
      </c>
      <c r="G165" s="23">
        <f t="shared" si="59"/>
        <v>0</v>
      </c>
      <c r="H165" s="24"/>
      <c r="I165" s="23">
        <f t="shared" si="60"/>
        <v>0</v>
      </c>
      <c r="J165" s="23">
        <f t="shared" si="61"/>
        <v>184.54538210083558</v>
      </c>
      <c r="K165" s="23">
        <f t="shared" si="62"/>
        <v>61763.49397018044</v>
      </c>
      <c r="L165" s="23">
        <f t="shared" si="63"/>
        <v>455.56805426706603</v>
      </c>
      <c r="M165" s="23">
        <f t="shared" si="50"/>
        <v>0</v>
      </c>
      <c r="N165" s="23">
        <f t="shared" si="51"/>
        <v>81.306801649869129</v>
      </c>
      <c r="O165" s="23">
        <f t="shared" si="52"/>
        <v>374.26125261719687</v>
      </c>
      <c r="P165" s="23">
        <f t="shared" si="53"/>
        <v>189.71587051636129</v>
      </c>
      <c r="Q165" s="23">
        <f t="shared" si="66"/>
        <v>137368.56435310701</v>
      </c>
      <c r="R165" s="25">
        <f t="shared" si="67"/>
        <v>3058.2571022850539</v>
      </c>
    </row>
    <row r="166" spans="2:18" x14ac:dyDescent="0.25">
      <c r="B166" s="22">
        <f t="shared" si="54"/>
        <v>155</v>
      </c>
      <c r="C166" s="23">
        <f t="shared" si="55"/>
        <v>61763.49397018044</v>
      </c>
      <c r="D166" s="23">
        <f t="shared" si="56"/>
        <v>270.21528611953937</v>
      </c>
      <c r="E166" s="23">
        <f t="shared" si="57"/>
        <v>185.35276814752677</v>
      </c>
      <c r="F166" s="24">
        <f t="shared" si="58"/>
        <v>0</v>
      </c>
      <c r="G166" s="23">
        <f t="shared" si="59"/>
        <v>0</v>
      </c>
      <c r="H166" s="24"/>
      <c r="I166" s="23">
        <f t="shared" si="60"/>
        <v>0</v>
      </c>
      <c r="J166" s="23">
        <f t="shared" si="61"/>
        <v>185.35276814752677</v>
      </c>
      <c r="K166" s="23">
        <f t="shared" si="62"/>
        <v>61578.141202032915</v>
      </c>
      <c r="L166" s="23">
        <f t="shared" si="63"/>
        <v>455.56805426706615</v>
      </c>
      <c r="M166" s="23">
        <f t="shared" si="50"/>
        <v>0</v>
      </c>
      <c r="N166" s="23">
        <f t="shared" si="51"/>
        <v>81.064585835861806</v>
      </c>
      <c r="O166" s="23">
        <f t="shared" si="52"/>
        <v>374.50346843120434</v>
      </c>
      <c r="P166" s="23">
        <f t="shared" si="53"/>
        <v>189.15070028367757</v>
      </c>
      <c r="Q166" s="23">
        <f t="shared" si="66"/>
        <v>137368.56435310701</v>
      </c>
      <c r="R166" s="25">
        <f t="shared" si="67"/>
        <v>3058.2571022850539</v>
      </c>
    </row>
    <row r="167" spans="2:18" x14ac:dyDescent="0.25">
      <c r="B167" s="22">
        <f t="shared" si="54"/>
        <v>156</v>
      </c>
      <c r="C167" s="23">
        <f t="shared" si="55"/>
        <v>61578.141202032915</v>
      </c>
      <c r="D167" s="23">
        <f t="shared" si="56"/>
        <v>269.4043677588939</v>
      </c>
      <c r="E167" s="23">
        <f t="shared" si="57"/>
        <v>186.16368650817222</v>
      </c>
      <c r="F167" s="24">
        <f t="shared" si="58"/>
        <v>0</v>
      </c>
      <c r="G167" s="23">
        <f t="shared" si="59"/>
        <v>0</v>
      </c>
      <c r="H167" s="24"/>
      <c r="I167" s="23">
        <f t="shared" si="60"/>
        <v>0</v>
      </c>
      <c r="J167" s="23">
        <f t="shared" si="61"/>
        <v>186.16368650817222</v>
      </c>
      <c r="K167" s="23">
        <f t="shared" si="62"/>
        <v>61391.977515524741</v>
      </c>
      <c r="L167" s="23">
        <f t="shared" si="63"/>
        <v>455.56805426706615</v>
      </c>
      <c r="M167" s="23">
        <f t="shared" si="50"/>
        <v>0</v>
      </c>
      <c r="N167" s="23">
        <f t="shared" si="51"/>
        <v>80.821310327668172</v>
      </c>
      <c r="O167" s="23">
        <f t="shared" si="52"/>
        <v>374.74674393939796</v>
      </c>
      <c r="P167" s="23">
        <f t="shared" si="53"/>
        <v>188.58305743122574</v>
      </c>
      <c r="Q167" s="23">
        <f t="shared" si="66"/>
        <v>137368.56435310701</v>
      </c>
      <c r="R167" s="25">
        <f t="shared" si="67"/>
        <v>3058.2571022850539</v>
      </c>
    </row>
    <row r="168" spans="2:18" x14ac:dyDescent="0.25">
      <c r="B168" s="22">
        <f t="shared" si="54"/>
        <v>157</v>
      </c>
      <c r="C168" s="23">
        <f t="shared" si="55"/>
        <v>61391.977515524741</v>
      </c>
      <c r="D168" s="23">
        <f t="shared" si="56"/>
        <v>268.58990163042074</v>
      </c>
      <c r="E168" s="23">
        <f t="shared" si="57"/>
        <v>186.97815263664549</v>
      </c>
      <c r="F168" s="24">
        <f t="shared" si="58"/>
        <v>0</v>
      </c>
      <c r="G168" s="23">
        <f t="shared" si="59"/>
        <v>0</v>
      </c>
      <c r="H168" s="24"/>
      <c r="I168" s="23">
        <f t="shared" si="60"/>
        <v>0</v>
      </c>
      <c r="J168" s="23">
        <f t="shared" si="61"/>
        <v>186.97815263664549</v>
      </c>
      <c r="K168" s="23">
        <f t="shared" si="62"/>
        <v>61204.999362888098</v>
      </c>
      <c r="L168" s="23">
        <f t="shared" si="63"/>
        <v>455.56805426706626</v>
      </c>
      <c r="M168" s="23">
        <f t="shared" si="50"/>
        <v>0</v>
      </c>
      <c r="N168" s="23">
        <f t="shared" si="51"/>
        <v>80.576970489126225</v>
      </c>
      <c r="O168" s="23">
        <f t="shared" si="52"/>
        <v>374.99108377794005</v>
      </c>
      <c r="P168" s="23">
        <f t="shared" si="53"/>
        <v>188.01293114129456</v>
      </c>
      <c r="Q168" s="23">
        <f>$Q$167+ $Q$167*$L$8</f>
        <v>142863.30692723129</v>
      </c>
      <c r="R168" s="25">
        <f>$R$167 + ($R$167 * $S$5)</f>
        <v>3150.0048153536054</v>
      </c>
    </row>
    <row r="169" spans="2:18" x14ac:dyDescent="0.25">
      <c r="B169" s="22">
        <f t="shared" si="54"/>
        <v>158</v>
      </c>
      <c r="C169" s="23">
        <f t="shared" si="55"/>
        <v>61204.999362888098</v>
      </c>
      <c r="D169" s="23">
        <f t="shared" si="56"/>
        <v>267.7718722126354</v>
      </c>
      <c r="E169" s="23">
        <f t="shared" si="57"/>
        <v>187.79618205443077</v>
      </c>
      <c r="F169" s="24">
        <f t="shared" si="58"/>
        <v>0</v>
      </c>
      <c r="G169" s="23">
        <f t="shared" si="59"/>
        <v>0</v>
      </c>
      <c r="H169" s="24"/>
      <c r="I169" s="23">
        <f t="shared" si="60"/>
        <v>0</v>
      </c>
      <c r="J169" s="23">
        <f t="shared" si="61"/>
        <v>187.79618205443077</v>
      </c>
      <c r="K169" s="23">
        <f t="shared" si="62"/>
        <v>61017.203180833669</v>
      </c>
      <c r="L169" s="23">
        <f t="shared" si="63"/>
        <v>455.56805426706615</v>
      </c>
      <c r="M169" s="23">
        <f t="shared" si="50"/>
        <v>0</v>
      </c>
      <c r="N169" s="23">
        <f t="shared" si="51"/>
        <v>80.331561663790623</v>
      </c>
      <c r="O169" s="23">
        <f t="shared" si="52"/>
        <v>375.23649260327551</v>
      </c>
      <c r="P169" s="23">
        <f t="shared" si="53"/>
        <v>187.44031054884474</v>
      </c>
      <c r="Q169" s="23">
        <f t="shared" ref="Q169:Q179" si="68">$Q$167+ $Q$167*$L$8</f>
        <v>142863.30692723129</v>
      </c>
      <c r="R169" s="25">
        <f t="shared" ref="R169:R179" si="69">$R$167 + ($R$167 * $S$5)</f>
        <v>3150.0048153536054</v>
      </c>
    </row>
    <row r="170" spans="2:18" x14ac:dyDescent="0.25">
      <c r="B170" s="22">
        <f t="shared" si="54"/>
        <v>159</v>
      </c>
      <c r="C170" s="23">
        <f t="shared" si="55"/>
        <v>61017.203180833669</v>
      </c>
      <c r="D170" s="23">
        <f t="shared" si="56"/>
        <v>266.95026391614732</v>
      </c>
      <c r="E170" s="23">
        <f t="shared" si="57"/>
        <v>188.61779035091891</v>
      </c>
      <c r="F170" s="24">
        <f t="shared" si="58"/>
        <v>0</v>
      </c>
      <c r="G170" s="23">
        <f t="shared" si="59"/>
        <v>0</v>
      </c>
      <c r="H170" s="24"/>
      <c r="I170" s="23">
        <f t="shared" si="60"/>
        <v>0</v>
      </c>
      <c r="J170" s="23">
        <f t="shared" si="61"/>
        <v>188.61779035091891</v>
      </c>
      <c r="K170" s="23">
        <f t="shared" si="62"/>
        <v>60828.585390482753</v>
      </c>
      <c r="L170" s="23">
        <f t="shared" si="63"/>
        <v>455.56805426706626</v>
      </c>
      <c r="M170" s="23">
        <f t="shared" si="50"/>
        <v>0</v>
      </c>
      <c r="N170" s="23">
        <f t="shared" si="51"/>
        <v>80.085079174844196</v>
      </c>
      <c r="O170" s="23">
        <f t="shared" si="52"/>
        <v>375.48297509222209</v>
      </c>
      <c r="P170" s="23">
        <f t="shared" si="53"/>
        <v>186.86518474130318</v>
      </c>
      <c r="Q170" s="23">
        <f t="shared" si="68"/>
        <v>142863.30692723129</v>
      </c>
      <c r="R170" s="25">
        <f t="shared" si="69"/>
        <v>3150.0048153536054</v>
      </c>
    </row>
    <row r="171" spans="2:18" x14ac:dyDescent="0.25">
      <c r="B171" s="22">
        <f t="shared" si="54"/>
        <v>160</v>
      </c>
      <c r="C171" s="23">
        <f t="shared" si="55"/>
        <v>60828.585390482753</v>
      </c>
      <c r="D171" s="23">
        <f t="shared" si="56"/>
        <v>266.12506108336191</v>
      </c>
      <c r="E171" s="23">
        <f t="shared" si="57"/>
        <v>189.4429931837042</v>
      </c>
      <c r="F171" s="24">
        <f t="shared" si="58"/>
        <v>0</v>
      </c>
      <c r="G171" s="23">
        <f t="shared" si="59"/>
        <v>0</v>
      </c>
      <c r="H171" s="24"/>
      <c r="I171" s="23">
        <f t="shared" si="60"/>
        <v>0</v>
      </c>
      <c r="J171" s="23">
        <f t="shared" si="61"/>
        <v>189.4429931837042</v>
      </c>
      <c r="K171" s="23">
        <f t="shared" si="62"/>
        <v>60639.142397299045</v>
      </c>
      <c r="L171" s="23">
        <f t="shared" si="63"/>
        <v>455.56805426706615</v>
      </c>
      <c r="M171" s="23">
        <f t="shared" si="50"/>
        <v>0</v>
      </c>
      <c r="N171" s="23">
        <f t="shared" si="51"/>
        <v>79.837518325008574</v>
      </c>
      <c r="O171" s="23">
        <f t="shared" si="52"/>
        <v>375.7305359420576</v>
      </c>
      <c r="P171" s="23">
        <f t="shared" si="53"/>
        <v>186.2875427583534</v>
      </c>
      <c r="Q171" s="23">
        <f t="shared" si="68"/>
        <v>142863.30692723129</v>
      </c>
      <c r="R171" s="25">
        <f t="shared" si="69"/>
        <v>3150.0048153536054</v>
      </c>
    </row>
    <row r="172" spans="2:18" x14ac:dyDescent="0.25">
      <c r="B172" s="22">
        <f t="shared" si="54"/>
        <v>161</v>
      </c>
      <c r="C172" s="23">
        <f t="shared" si="55"/>
        <v>60639.142397299045</v>
      </c>
      <c r="D172" s="23">
        <f t="shared" si="56"/>
        <v>265.29624798818321</v>
      </c>
      <c r="E172" s="23">
        <f t="shared" si="57"/>
        <v>190.27180627888285</v>
      </c>
      <c r="F172" s="24">
        <f t="shared" si="58"/>
        <v>0</v>
      </c>
      <c r="G172" s="23">
        <f t="shared" si="59"/>
        <v>0</v>
      </c>
      <c r="H172" s="24"/>
      <c r="I172" s="23">
        <f t="shared" si="60"/>
        <v>0</v>
      </c>
      <c r="J172" s="23">
        <f t="shared" si="61"/>
        <v>190.27180627888285</v>
      </c>
      <c r="K172" s="23">
        <f t="shared" si="62"/>
        <v>60448.870591020161</v>
      </c>
      <c r="L172" s="23">
        <f t="shared" si="63"/>
        <v>455.56805426706603</v>
      </c>
      <c r="M172" s="23">
        <f t="shared" si="50"/>
        <v>0</v>
      </c>
      <c r="N172" s="23">
        <f t="shared" si="51"/>
        <v>79.588874396454955</v>
      </c>
      <c r="O172" s="23">
        <f t="shared" si="52"/>
        <v>375.97917987061106</v>
      </c>
      <c r="P172" s="23">
        <f t="shared" si="53"/>
        <v>185.70737359172821</v>
      </c>
      <c r="Q172" s="23">
        <f t="shared" si="68"/>
        <v>142863.30692723129</v>
      </c>
      <c r="R172" s="25">
        <f t="shared" si="69"/>
        <v>3150.0048153536054</v>
      </c>
    </row>
    <row r="173" spans="2:18" x14ac:dyDescent="0.25">
      <c r="B173" s="22">
        <f t="shared" si="54"/>
        <v>162</v>
      </c>
      <c r="C173" s="23">
        <f t="shared" si="55"/>
        <v>60448.870591020161</v>
      </c>
      <c r="D173" s="23">
        <f t="shared" si="56"/>
        <v>264.46380883571322</v>
      </c>
      <c r="E173" s="23">
        <f t="shared" si="57"/>
        <v>191.10424543135298</v>
      </c>
      <c r="F173" s="24">
        <f t="shared" si="58"/>
        <v>0</v>
      </c>
      <c r="G173" s="23">
        <f t="shared" si="59"/>
        <v>0</v>
      </c>
      <c r="H173" s="24"/>
      <c r="I173" s="23">
        <f t="shared" si="60"/>
        <v>0</v>
      </c>
      <c r="J173" s="23">
        <f t="shared" si="61"/>
        <v>191.10424543135298</v>
      </c>
      <c r="K173" s="23">
        <f t="shared" si="62"/>
        <v>60257.766345588811</v>
      </c>
      <c r="L173" s="23">
        <f t="shared" si="63"/>
        <v>455.5680542670662</v>
      </c>
      <c r="M173" s="23">
        <f t="shared" si="50"/>
        <v>0</v>
      </c>
      <c r="N173" s="23">
        <f t="shared" si="51"/>
        <v>79.339142650713967</v>
      </c>
      <c r="O173" s="23">
        <f t="shared" si="52"/>
        <v>376.22891161635221</v>
      </c>
      <c r="P173" s="23">
        <f t="shared" si="53"/>
        <v>185.12466618499923</v>
      </c>
      <c r="Q173" s="23">
        <f t="shared" si="68"/>
        <v>142863.30692723129</v>
      </c>
      <c r="R173" s="25">
        <f t="shared" si="69"/>
        <v>3150.0048153536054</v>
      </c>
    </row>
    <row r="174" spans="2:18" x14ac:dyDescent="0.25">
      <c r="B174" s="22">
        <f t="shared" si="54"/>
        <v>163</v>
      </c>
      <c r="C174" s="23">
        <f t="shared" si="55"/>
        <v>60257.766345588811</v>
      </c>
      <c r="D174" s="23">
        <f t="shared" si="56"/>
        <v>263.62772776195095</v>
      </c>
      <c r="E174" s="23">
        <f t="shared" si="57"/>
        <v>191.94032650511517</v>
      </c>
      <c r="F174" s="24">
        <f t="shared" si="58"/>
        <v>0</v>
      </c>
      <c r="G174" s="23">
        <f t="shared" si="59"/>
        <v>0</v>
      </c>
      <c r="H174" s="24"/>
      <c r="I174" s="23">
        <f t="shared" si="60"/>
        <v>0</v>
      </c>
      <c r="J174" s="23">
        <f t="shared" si="61"/>
        <v>191.94032650511517</v>
      </c>
      <c r="K174" s="23">
        <f t="shared" si="62"/>
        <v>60065.826019083695</v>
      </c>
      <c r="L174" s="23">
        <f t="shared" si="63"/>
        <v>455.56805426706615</v>
      </c>
      <c r="M174" s="23">
        <f t="shared" si="50"/>
        <v>0</v>
      </c>
      <c r="N174" s="23">
        <f t="shared" si="51"/>
        <v>79.088318328585288</v>
      </c>
      <c r="O174" s="23">
        <f t="shared" si="52"/>
        <v>376.47973593848087</v>
      </c>
      <c r="P174" s="23">
        <f t="shared" si="53"/>
        <v>184.53940943336571</v>
      </c>
      <c r="Q174" s="23">
        <f t="shared" si="68"/>
        <v>142863.30692723129</v>
      </c>
      <c r="R174" s="25">
        <f t="shared" si="69"/>
        <v>3150.0048153536054</v>
      </c>
    </row>
    <row r="175" spans="2:18" x14ac:dyDescent="0.25">
      <c r="B175" s="22">
        <f t="shared" si="54"/>
        <v>164</v>
      </c>
      <c r="C175" s="23">
        <f t="shared" si="55"/>
        <v>60065.826019083695</v>
      </c>
      <c r="D175" s="23">
        <f t="shared" si="56"/>
        <v>262.78798883349111</v>
      </c>
      <c r="E175" s="23">
        <f t="shared" si="57"/>
        <v>192.78006543357506</v>
      </c>
      <c r="F175" s="24">
        <f t="shared" si="58"/>
        <v>0</v>
      </c>
      <c r="G175" s="23">
        <f t="shared" si="59"/>
        <v>0</v>
      </c>
      <c r="H175" s="24"/>
      <c r="I175" s="23">
        <f t="shared" si="60"/>
        <v>0</v>
      </c>
      <c r="J175" s="23">
        <f t="shared" si="61"/>
        <v>192.78006543357506</v>
      </c>
      <c r="K175" s="23">
        <f t="shared" si="62"/>
        <v>59873.045953650122</v>
      </c>
      <c r="L175" s="23">
        <f t="shared" si="63"/>
        <v>455.56805426706615</v>
      </c>
      <c r="M175" s="23">
        <f t="shared" si="50"/>
        <v>0</v>
      </c>
      <c r="N175" s="23">
        <f t="shared" si="51"/>
        <v>78.836396650047334</v>
      </c>
      <c r="O175" s="23">
        <f t="shared" si="52"/>
        <v>376.73165761701881</v>
      </c>
      <c r="P175" s="23">
        <f t="shared" si="53"/>
        <v>183.95159218344375</v>
      </c>
      <c r="Q175" s="23">
        <f t="shared" si="68"/>
        <v>142863.30692723129</v>
      </c>
      <c r="R175" s="25">
        <f t="shared" si="69"/>
        <v>3150.0048153536054</v>
      </c>
    </row>
    <row r="176" spans="2:18" x14ac:dyDescent="0.25">
      <c r="B176" s="22">
        <f t="shared" si="54"/>
        <v>165</v>
      </c>
      <c r="C176" s="23">
        <f t="shared" si="55"/>
        <v>59873.045953650122</v>
      </c>
      <c r="D176" s="23">
        <f t="shared" si="56"/>
        <v>261.94457604721924</v>
      </c>
      <c r="E176" s="23">
        <f t="shared" si="57"/>
        <v>193.62347821984693</v>
      </c>
      <c r="F176" s="24">
        <f t="shared" si="58"/>
        <v>0</v>
      </c>
      <c r="G176" s="23">
        <f t="shared" si="59"/>
        <v>0</v>
      </c>
      <c r="H176" s="24"/>
      <c r="I176" s="23">
        <f t="shared" si="60"/>
        <v>0</v>
      </c>
      <c r="J176" s="23">
        <f t="shared" si="61"/>
        <v>193.62347821984693</v>
      </c>
      <c r="K176" s="23">
        <f t="shared" si="62"/>
        <v>59679.422475430278</v>
      </c>
      <c r="L176" s="23">
        <f t="shared" si="63"/>
        <v>455.56805426706615</v>
      </c>
      <c r="M176" s="23">
        <f t="shared" si="50"/>
        <v>0</v>
      </c>
      <c r="N176" s="23">
        <f t="shared" si="51"/>
        <v>78.58337281416577</v>
      </c>
      <c r="O176" s="23">
        <f t="shared" si="52"/>
        <v>376.98468145290036</v>
      </c>
      <c r="P176" s="23">
        <f t="shared" si="53"/>
        <v>183.36120323305343</v>
      </c>
      <c r="Q176" s="23">
        <f t="shared" si="68"/>
        <v>142863.30692723129</v>
      </c>
      <c r="R176" s="25">
        <f t="shared" si="69"/>
        <v>3150.0048153536054</v>
      </c>
    </row>
    <row r="177" spans="2:18" x14ac:dyDescent="0.25">
      <c r="B177" s="22">
        <f t="shared" si="54"/>
        <v>166</v>
      </c>
      <c r="C177" s="23">
        <f t="shared" si="55"/>
        <v>59679.422475430278</v>
      </c>
      <c r="D177" s="23">
        <f t="shared" si="56"/>
        <v>261.09747333000735</v>
      </c>
      <c r="E177" s="23">
        <f t="shared" si="57"/>
        <v>194.47058093705877</v>
      </c>
      <c r="F177" s="24">
        <f t="shared" si="58"/>
        <v>0</v>
      </c>
      <c r="G177" s="23">
        <f t="shared" si="59"/>
        <v>0</v>
      </c>
      <c r="H177" s="24"/>
      <c r="I177" s="23">
        <f t="shared" si="60"/>
        <v>0</v>
      </c>
      <c r="J177" s="23">
        <f t="shared" si="61"/>
        <v>194.47058093705877</v>
      </c>
      <c r="K177" s="23">
        <f t="shared" si="62"/>
        <v>59484.951894493221</v>
      </c>
      <c r="L177" s="23">
        <f t="shared" si="63"/>
        <v>455.56805426706615</v>
      </c>
      <c r="M177" s="23">
        <f t="shared" si="50"/>
        <v>0</v>
      </c>
      <c r="N177" s="23">
        <f t="shared" si="51"/>
        <v>78.329241999002207</v>
      </c>
      <c r="O177" s="23">
        <f t="shared" si="52"/>
        <v>377.23881226806395</v>
      </c>
      <c r="P177" s="23">
        <f t="shared" si="53"/>
        <v>182.76823133100518</v>
      </c>
      <c r="Q177" s="23">
        <f t="shared" si="68"/>
        <v>142863.30692723129</v>
      </c>
      <c r="R177" s="25">
        <f t="shared" si="69"/>
        <v>3150.0048153536054</v>
      </c>
    </row>
    <row r="178" spans="2:18" x14ac:dyDescent="0.25">
      <c r="B178" s="22">
        <f t="shared" si="54"/>
        <v>167</v>
      </c>
      <c r="C178" s="23">
        <f t="shared" si="55"/>
        <v>59484.951894493221</v>
      </c>
      <c r="D178" s="23">
        <f t="shared" si="56"/>
        <v>260.24666453840774</v>
      </c>
      <c r="E178" s="23">
        <f t="shared" si="57"/>
        <v>195.3213897286584</v>
      </c>
      <c r="F178" s="24">
        <f t="shared" si="58"/>
        <v>0</v>
      </c>
      <c r="G178" s="23">
        <f t="shared" si="59"/>
        <v>0</v>
      </c>
      <c r="H178" s="24"/>
      <c r="I178" s="23">
        <f t="shared" si="60"/>
        <v>0</v>
      </c>
      <c r="J178" s="23">
        <f t="shared" si="61"/>
        <v>195.3213897286584</v>
      </c>
      <c r="K178" s="23">
        <f t="shared" si="62"/>
        <v>59289.630504764566</v>
      </c>
      <c r="L178" s="23">
        <f t="shared" si="63"/>
        <v>455.56805426706615</v>
      </c>
      <c r="M178" s="23">
        <f t="shared" si="50"/>
        <v>0</v>
      </c>
      <c r="N178" s="23">
        <f t="shared" si="51"/>
        <v>78.073999361522326</v>
      </c>
      <c r="O178" s="23">
        <f t="shared" si="52"/>
        <v>377.49405490554381</v>
      </c>
      <c r="P178" s="23">
        <f t="shared" si="53"/>
        <v>182.1726651768854</v>
      </c>
      <c r="Q178" s="23">
        <f t="shared" si="68"/>
        <v>142863.30692723129</v>
      </c>
      <c r="R178" s="25">
        <f t="shared" si="69"/>
        <v>3150.0048153536054</v>
      </c>
    </row>
    <row r="179" spans="2:18" x14ac:dyDescent="0.25">
      <c r="B179" s="22">
        <f t="shared" si="54"/>
        <v>168</v>
      </c>
      <c r="C179" s="23">
        <f t="shared" si="55"/>
        <v>59289.630504764566</v>
      </c>
      <c r="D179" s="23">
        <f t="shared" si="56"/>
        <v>259.39213345834486</v>
      </c>
      <c r="E179" s="23">
        <f t="shared" si="57"/>
        <v>196.17592080872129</v>
      </c>
      <c r="F179" s="24">
        <f t="shared" si="58"/>
        <v>0</v>
      </c>
      <c r="G179" s="23">
        <f t="shared" si="59"/>
        <v>0</v>
      </c>
      <c r="H179" s="24"/>
      <c r="I179" s="23">
        <f t="shared" si="60"/>
        <v>0</v>
      </c>
      <c r="J179" s="23">
        <f t="shared" si="61"/>
        <v>196.17592080872129</v>
      </c>
      <c r="K179" s="23">
        <f t="shared" si="62"/>
        <v>59093.454583955841</v>
      </c>
      <c r="L179" s="23">
        <f t="shared" si="63"/>
        <v>455.56805426706615</v>
      </c>
      <c r="M179" s="23">
        <f t="shared" si="50"/>
        <v>0</v>
      </c>
      <c r="N179" s="23">
        <f t="shared" si="51"/>
        <v>77.817640037503452</v>
      </c>
      <c r="O179" s="23">
        <f t="shared" si="52"/>
        <v>377.75041422956269</v>
      </c>
      <c r="P179" s="23">
        <f t="shared" si="53"/>
        <v>181.57449342084141</v>
      </c>
      <c r="Q179" s="23">
        <f t="shared" si="68"/>
        <v>142863.30692723129</v>
      </c>
      <c r="R179" s="25">
        <f t="shared" si="69"/>
        <v>3150.0048153536054</v>
      </c>
    </row>
    <row r="180" spans="2:18" x14ac:dyDescent="0.25">
      <c r="B180" s="22">
        <f t="shared" si="54"/>
        <v>169</v>
      </c>
      <c r="C180" s="23">
        <f t="shared" si="55"/>
        <v>59093.454583955841</v>
      </c>
      <c r="D180" s="23">
        <f t="shared" si="56"/>
        <v>258.53386380480669</v>
      </c>
      <c r="E180" s="23">
        <f t="shared" si="57"/>
        <v>197.03419046225943</v>
      </c>
      <c r="F180" s="24">
        <f t="shared" si="58"/>
        <v>0</v>
      </c>
      <c r="G180" s="23">
        <f t="shared" si="59"/>
        <v>0</v>
      </c>
      <c r="H180" s="24"/>
      <c r="I180" s="23">
        <f t="shared" si="60"/>
        <v>0</v>
      </c>
      <c r="J180" s="23">
        <f t="shared" si="61"/>
        <v>197.03419046225943</v>
      </c>
      <c r="K180" s="23">
        <f t="shared" si="62"/>
        <v>58896.420393493579</v>
      </c>
      <c r="L180" s="23">
        <f t="shared" si="63"/>
        <v>455.56805426706615</v>
      </c>
      <c r="M180" s="23">
        <f t="shared" si="50"/>
        <v>0</v>
      </c>
      <c r="N180" s="23">
        <f t="shared" si="51"/>
        <v>77.560159141442</v>
      </c>
      <c r="O180" s="23">
        <f t="shared" si="52"/>
        <v>378.00789512562415</v>
      </c>
      <c r="P180" s="23">
        <f t="shared" si="53"/>
        <v>180.97370466336471</v>
      </c>
      <c r="Q180" s="23">
        <f>$Q$179+ $Q$179*$L$8</f>
        <v>148577.83920432054</v>
      </c>
      <c r="R180" s="25">
        <f>$R$179 + ($R$179 * $S$5)</f>
        <v>3244.5049598142136</v>
      </c>
    </row>
    <row r="181" spans="2:18" x14ac:dyDescent="0.25">
      <c r="B181" s="22">
        <f t="shared" si="54"/>
        <v>170</v>
      </c>
      <c r="C181" s="23">
        <f t="shared" si="55"/>
        <v>58896.420393493579</v>
      </c>
      <c r="D181" s="23">
        <f t="shared" si="56"/>
        <v>257.6718392215343</v>
      </c>
      <c r="E181" s="23">
        <f t="shared" si="57"/>
        <v>197.89621504553182</v>
      </c>
      <c r="F181" s="24">
        <f t="shared" si="58"/>
        <v>0</v>
      </c>
      <c r="G181" s="23">
        <f t="shared" si="59"/>
        <v>0</v>
      </c>
      <c r="H181" s="24"/>
      <c r="I181" s="23">
        <f t="shared" si="60"/>
        <v>0</v>
      </c>
      <c r="J181" s="23">
        <f t="shared" si="61"/>
        <v>197.89621504553182</v>
      </c>
      <c r="K181" s="23">
        <f t="shared" si="62"/>
        <v>58698.524178448046</v>
      </c>
      <c r="L181" s="23">
        <f t="shared" si="63"/>
        <v>455.56805426706615</v>
      </c>
      <c r="M181" s="23">
        <f t="shared" si="50"/>
        <v>0</v>
      </c>
      <c r="N181" s="23">
        <f t="shared" si="51"/>
        <v>77.301551766460292</v>
      </c>
      <c r="O181" s="23">
        <f t="shared" si="52"/>
        <v>378.26650250060584</v>
      </c>
      <c r="P181" s="23">
        <f t="shared" si="53"/>
        <v>180.37028745507402</v>
      </c>
      <c r="Q181" s="23">
        <f t="shared" ref="Q181:Q191" si="70">$Q$179+ $Q$179*$L$8</f>
        <v>148577.83920432054</v>
      </c>
      <c r="R181" s="25">
        <f t="shared" ref="R181:R191" si="71">$R$179 + ($R$179 * $S$5)</f>
        <v>3244.5049598142136</v>
      </c>
    </row>
    <row r="182" spans="2:18" x14ac:dyDescent="0.25">
      <c r="B182" s="22">
        <f t="shared" si="54"/>
        <v>171</v>
      </c>
      <c r="C182" s="23">
        <f t="shared" si="55"/>
        <v>58698.524178448046</v>
      </c>
      <c r="D182" s="23">
        <f t="shared" si="56"/>
        <v>256.80604328071013</v>
      </c>
      <c r="E182" s="23">
        <f t="shared" si="57"/>
        <v>198.76201098635602</v>
      </c>
      <c r="F182" s="24">
        <f t="shared" si="58"/>
        <v>0</v>
      </c>
      <c r="G182" s="23">
        <f t="shared" si="59"/>
        <v>0</v>
      </c>
      <c r="H182" s="24"/>
      <c r="I182" s="23">
        <f t="shared" si="60"/>
        <v>0</v>
      </c>
      <c r="J182" s="23">
        <f t="shared" si="61"/>
        <v>198.76201098635602</v>
      </c>
      <c r="K182" s="23">
        <f t="shared" si="62"/>
        <v>58499.762167461689</v>
      </c>
      <c r="L182" s="23">
        <f t="shared" si="63"/>
        <v>455.56805426706615</v>
      </c>
      <c r="M182" s="23">
        <f t="shared" si="50"/>
        <v>0</v>
      </c>
      <c r="N182" s="23">
        <f t="shared" si="51"/>
        <v>77.041812984213038</v>
      </c>
      <c r="O182" s="23">
        <f t="shared" si="52"/>
        <v>378.52624128285311</v>
      </c>
      <c r="P182" s="23">
        <f t="shared" si="53"/>
        <v>179.76423029649709</v>
      </c>
      <c r="Q182" s="23">
        <f t="shared" si="70"/>
        <v>148577.83920432054</v>
      </c>
      <c r="R182" s="25">
        <f t="shared" si="71"/>
        <v>3244.5049598142136</v>
      </c>
    </row>
    <row r="183" spans="2:18" x14ac:dyDescent="0.25">
      <c r="B183" s="22">
        <f t="shared" si="54"/>
        <v>172</v>
      </c>
      <c r="C183" s="23">
        <f t="shared" si="55"/>
        <v>58499.762167461689</v>
      </c>
      <c r="D183" s="23">
        <f t="shared" si="56"/>
        <v>255.93645948264481</v>
      </c>
      <c r="E183" s="23">
        <f t="shared" si="57"/>
        <v>199.63159478442134</v>
      </c>
      <c r="F183" s="24">
        <f t="shared" si="58"/>
        <v>0</v>
      </c>
      <c r="G183" s="23">
        <f t="shared" si="59"/>
        <v>0</v>
      </c>
      <c r="H183" s="24"/>
      <c r="I183" s="23">
        <f t="shared" si="60"/>
        <v>0</v>
      </c>
      <c r="J183" s="23">
        <f t="shared" si="61"/>
        <v>199.63159478442134</v>
      </c>
      <c r="K183" s="23">
        <f t="shared" si="62"/>
        <v>58300.13057267727</v>
      </c>
      <c r="L183" s="23">
        <f t="shared" si="63"/>
        <v>455.56805426706615</v>
      </c>
      <c r="M183" s="23">
        <f t="shared" si="50"/>
        <v>0</v>
      </c>
      <c r="N183" s="23">
        <f t="shared" si="51"/>
        <v>76.780937844793442</v>
      </c>
      <c r="O183" s="23">
        <f t="shared" si="52"/>
        <v>378.78711642227267</v>
      </c>
      <c r="P183" s="23">
        <f t="shared" si="53"/>
        <v>179.15552163785134</v>
      </c>
      <c r="Q183" s="23">
        <f t="shared" si="70"/>
        <v>148577.83920432054</v>
      </c>
      <c r="R183" s="25">
        <f t="shared" si="71"/>
        <v>3244.5049598142136</v>
      </c>
    </row>
    <row r="184" spans="2:18" x14ac:dyDescent="0.25">
      <c r="B184" s="22">
        <f t="shared" si="54"/>
        <v>173</v>
      </c>
      <c r="C184" s="23">
        <f t="shared" si="55"/>
        <v>58300.13057267727</v>
      </c>
      <c r="D184" s="23">
        <f t="shared" si="56"/>
        <v>255.06307125546294</v>
      </c>
      <c r="E184" s="23">
        <f t="shared" si="57"/>
        <v>200.5049830116032</v>
      </c>
      <c r="F184" s="24">
        <f t="shared" si="58"/>
        <v>0</v>
      </c>
      <c r="G184" s="23">
        <f t="shared" si="59"/>
        <v>0</v>
      </c>
      <c r="H184" s="24"/>
      <c r="I184" s="23">
        <f t="shared" si="60"/>
        <v>0</v>
      </c>
      <c r="J184" s="23">
        <f t="shared" si="61"/>
        <v>200.5049830116032</v>
      </c>
      <c r="K184" s="23">
        <f t="shared" si="62"/>
        <v>58099.625589665666</v>
      </c>
      <c r="L184" s="23">
        <f t="shared" si="63"/>
        <v>455.56805426706615</v>
      </c>
      <c r="M184" s="23">
        <f t="shared" si="50"/>
        <v>0</v>
      </c>
      <c r="N184" s="23">
        <f t="shared" si="51"/>
        <v>76.518921376638886</v>
      </c>
      <c r="O184" s="23">
        <f t="shared" si="52"/>
        <v>379.04913289042725</v>
      </c>
      <c r="P184" s="23">
        <f t="shared" si="53"/>
        <v>178.54414987882404</v>
      </c>
      <c r="Q184" s="23">
        <f t="shared" si="70"/>
        <v>148577.83920432054</v>
      </c>
      <c r="R184" s="25">
        <f t="shared" si="71"/>
        <v>3244.5049598142136</v>
      </c>
    </row>
    <row r="185" spans="2:18" x14ac:dyDescent="0.25">
      <c r="B185" s="22">
        <f t="shared" si="54"/>
        <v>174</v>
      </c>
      <c r="C185" s="23">
        <f t="shared" si="55"/>
        <v>58099.625589665666</v>
      </c>
      <c r="D185" s="23">
        <f t="shared" si="56"/>
        <v>254.18586195478716</v>
      </c>
      <c r="E185" s="23">
        <f t="shared" si="57"/>
        <v>201.38219231227896</v>
      </c>
      <c r="F185" s="24">
        <f t="shared" si="58"/>
        <v>0</v>
      </c>
      <c r="G185" s="23">
        <f t="shared" si="59"/>
        <v>0</v>
      </c>
      <c r="H185" s="24"/>
      <c r="I185" s="23">
        <f t="shared" si="60"/>
        <v>0</v>
      </c>
      <c r="J185" s="23">
        <f t="shared" si="61"/>
        <v>201.38219231227896</v>
      </c>
      <c r="K185" s="23">
        <f t="shared" si="62"/>
        <v>57898.243397353384</v>
      </c>
      <c r="L185" s="23">
        <f t="shared" si="63"/>
        <v>455.56805426706615</v>
      </c>
      <c r="M185" s="23">
        <f t="shared" si="50"/>
        <v>0</v>
      </c>
      <c r="N185" s="23">
        <f t="shared" si="51"/>
        <v>76.255758586436144</v>
      </c>
      <c r="O185" s="23">
        <f t="shared" si="52"/>
        <v>379.31229568062997</v>
      </c>
      <c r="P185" s="23">
        <f t="shared" si="53"/>
        <v>177.93010336835101</v>
      </c>
      <c r="Q185" s="23">
        <f t="shared" si="70"/>
        <v>148577.83920432054</v>
      </c>
      <c r="R185" s="25">
        <f t="shared" si="71"/>
        <v>3244.5049598142136</v>
      </c>
    </row>
    <row r="186" spans="2:18" x14ac:dyDescent="0.25">
      <c r="B186" s="22">
        <f t="shared" si="54"/>
        <v>175</v>
      </c>
      <c r="C186" s="23">
        <f t="shared" si="55"/>
        <v>57898.243397353384</v>
      </c>
      <c r="D186" s="23">
        <f t="shared" si="56"/>
        <v>253.304814863421</v>
      </c>
      <c r="E186" s="23">
        <f t="shared" si="57"/>
        <v>202.26323940364517</v>
      </c>
      <c r="F186" s="24">
        <f t="shared" si="58"/>
        <v>0</v>
      </c>
      <c r="G186" s="23">
        <f t="shared" si="59"/>
        <v>0</v>
      </c>
      <c r="H186" s="24"/>
      <c r="I186" s="23">
        <f t="shared" si="60"/>
        <v>0</v>
      </c>
      <c r="J186" s="23">
        <f t="shared" si="61"/>
        <v>202.26323940364517</v>
      </c>
      <c r="K186" s="23">
        <f t="shared" si="62"/>
        <v>57695.980157949736</v>
      </c>
      <c r="L186" s="23">
        <f t="shared" si="63"/>
        <v>455.56805426706615</v>
      </c>
      <c r="M186" s="23">
        <f t="shared" si="50"/>
        <v>0</v>
      </c>
      <c r="N186" s="23">
        <f t="shared" si="51"/>
        <v>75.991444459026297</v>
      </c>
      <c r="O186" s="23">
        <f t="shared" si="52"/>
        <v>379.57660980803985</v>
      </c>
      <c r="P186" s="23">
        <f t="shared" si="53"/>
        <v>177.31337040439468</v>
      </c>
      <c r="Q186" s="23">
        <f t="shared" si="70"/>
        <v>148577.83920432054</v>
      </c>
      <c r="R186" s="25">
        <f t="shared" si="71"/>
        <v>3244.5049598142136</v>
      </c>
    </row>
    <row r="187" spans="2:18" x14ac:dyDescent="0.25">
      <c r="B187" s="22">
        <f t="shared" si="54"/>
        <v>176</v>
      </c>
      <c r="C187" s="23">
        <f t="shared" si="55"/>
        <v>57695.980157949736</v>
      </c>
      <c r="D187" s="23">
        <f t="shared" si="56"/>
        <v>252.41991319103005</v>
      </c>
      <c r="E187" s="23">
        <f t="shared" si="57"/>
        <v>203.1481410760361</v>
      </c>
      <c r="F187" s="24">
        <f t="shared" si="58"/>
        <v>0</v>
      </c>
      <c r="G187" s="23">
        <f t="shared" si="59"/>
        <v>0</v>
      </c>
      <c r="H187" s="24"/>
      <c r="I187" s="23">
        <f t="shared" si="60"/>
        <v>0</v>
      </c>
      <c r="J187" s="23">
        <f t="shared" si="61"/>
        <v>203.1481410760361</v>
      </c>
      <c r="K187" s="23">
        <f t="shared" si="62"/>
        <v>57492.832016873697</v>
      </c>
      <c r="L187" s="23">
        <f t="shared" si="63"/>
        <v>455.56805426706615</v>
      </c>
      <c r="M187" s="23">
        <f t="shared" si="50"/>
        <v>0</v>
      </c>
      <c r="N187" s="23">
        <f t="shared" si="51"/>
        <v>75.725973957309009</v>
      </c>
      <c r="O187" s="23">
        <f t="shared" si="52"/>
        <v>379.84208030975714</v>
      </c>
      <c r="P187" s="23">
        <f t="shared" si="53"/>
        <v>176.69393923372104</v>
      </c>
      <c r="Q187" s="23">
        <f t="shared" si="70"/>
        <v>148577.83920432054</v>
      </c>
      <c r="R187" s="25">
        <f t="shared" si="71"/>
        <v>3244.5049598142136</v>
      </c>
    </row>
    <row r="188" spans="2:18" x14ac:dyDescent="0.25">
      <c r="B188" s="22">
        <f t="shared" si="54"/>
        <v>177</v>
      </c>
      <c r="C188" s="23">
        <f t="shared" si="55"/>
        <v>57492.832016873697</v>
      </c>
      <c r="D188" s="23">
        <f t="shared" si="56"/>
        <v>251.53114007382234</v>
      </c>
      <c r="E188" s="23">
        <f t="shared" si="57"/>
        <v>204.0369141932438</v>
      </c>
      <c r="F188" s="24">
        <f t="shared" si="58"/>
        <v>0</v>
      </c>
      <c r="G188" s="23">
        <f t="shared" si="59"/>
        <v>0</v>
      </c>
      <c r="H188" s="24"/>
      <c r="I188" s="23">
        <f t="shared" si="60"/>
        <v>0</v>
      </c>
      <c r="J188" s="23">
        <f t="shared" si="61"/>
        <v>204.0369141932438</v>
      </c>
      <c r="K188" s="23">
        <f t="shared" si="62"/>
        <v>57288.795102680451</v>
      </c>
      <c r="L188" s="23">
        <f t="shared" si="63"/>
        <v>455.56805426706615</v>
      </c>
      <c r="M188" s="23">
        <f t="shared" si="50"/>
        <v>0</v>
      </c>
      <c r="N188" s="23">
        <f t="shared" si="51"/>
        <v>75.4593420221467</v>
      </c>
      <c r="O188" s="23">
        <f t="shared" si="52"/>
        <v>380.10871224491945</v>
      </c>
      <c r="P188" s="23">
        <f t="shared" si="53"/>
        <v>176.07179805167564</v>
      </c>
      <c r="Q188" s="23">
        <f t="shared" si="70"/>
        <v>148577.83920432054</v>
      </c>
      <c r="R188" s="25">
        <f t="shared" si="71"/>
        <v>3244.5049598142136</v>
      </c>
    </row>
    <row r="189" spans="2:18" x14ac:dyDescent="0.25">
      <c r="B189" s="22">
        <f t="shared" si="54"/>
        <v>178</v>
      </c>
      <c r="C189" s="23">
        <f t="shared" si="55"/>
        <v>57288.795102680451</v>
      </c>
      <c r="D189" s="23">
        <f t="shared" si="56"/>
        <v>250.63847857422689</v>
      </c>
      <c r="E189" s="23">
        <f t="shared" si="57"/>
        <v>204.92957569283922</v>
      </c>
      <c r="F189" s="24">
        <f t="shared" si="58"/>
        <v>0</v>
      </c>
      <c r="G189" s="23">
        <f t="shared" si="59"/>
        <v>0</v>
      </c>
      <c r="H189" s="24"/>
      <c r="I189" s="23">
        <f t="shared" si="60"/>
        <v>0</v>
      </c>
      <c r="J189" s="23">
        <f t="shared" si="61"/>
        <v>204.92957569283922</v>
      </c>
      <c r="K189" s="23">
        <f t="shared" si="62"/>
        <v>57083.865526987611</v>
      </c>
      <c r="L189" s="23">
        <f t="shared" si="63"/>
        <v>455.56805426706615</v>
      </c>
      <c r="M189" s="23">
        <f t="shared" si="50"/>
        <v>0</v>
      </c>
      <c r="N189" s="23">
        <f t="shared" si="51"/>
        <v>75.19154357226806</v>
      </c>
      <c r="O189" s="23">
        <f t="shared" si="52"/>
        <v>380.37651069479807</v>
      </c>
      <c r="P189" s="23">
        <f t="shared" si="53"/>
        <v>175.44693500195885</v>
      </c>
      <c r="Q189" s="23">
        <f t="shared" si="70"/>
        <v>148577.83920432054</v>
      </c>
      <c r="R189" s="25">
        <f t="shared" si="71"/>
        <v>3244.5049598142136</v>
      </c>
    </row>
    <row r="190" spans="2:18" x14ac:dyDescent="0.25">
      <c r="B190" s="22">
        <f t="shared" si="54"/>
        <v>179</v>
      </c>
      <c r="C190" s="23">
        <f t="shared" si="55"/>
        <v>57083.865526987611</v>
      </c>
      <c r="D190" s="23">
        <f t="shared" si="56"/>
        <v>249.74191168057075</v>
      </c>
      <c r="E190" s="23">
        <f t="shared" si="57"/>
        <v>205.82614258649537</v>
      </c>
      <c r="F190" s="24">
        <f t="shared" si="58"/>
        <v>0</v>
      </c>
      <c r="G190" s="23">
        <f t="shared" si="59"/>
        <v>0</v>
      </c>
      <c r="H190" s="24"/>
      <c r="I190" s="23">
        <f t="shared" si="60"/>
        <v>0</v>
      </c>
      <c r="J190" s="23">
        <f t="shared" si="61"/>
        <v>205.82614258649537</v>
      </c>
      <c r="K190" s="23">
        <f t="shared" si="62"/>
        <v>56878.039384401112</v>
      </c>
      <c r="L190" s="23">
        <f t="shared" si="63"/>
        <v>455.56805426706615</v>
      </c>
      <c r="M190" s="23">
        <f t="shared" si="50"/>
        <v>0</v>
      </c>
      <c r="N190" s="23">
        <f t="shared" si="51"/>
        <v>74.922573504171226</v>
      </c>
      <c r="O190" s="23">
        <f t="shared" si="52"/>
        <v>380.64548076289492</v>
      </c>
      <c r="P190" s="23">
        <f t="shared" si="53"/>
        <v>174.81933817639955</v>
      </c>
      <c r="Q190" s="23">
        <f t="shared" si="70"/>
        <v>148577.83920432054</v>
      </c>
      <c r="R190" s="25">
        <f t="shared" si="71"/>
        <v>3244.5049598142136</v>
      </c>
    </row>
    <row r="191" spans="2:18" x14ac:dyDescent="0.25">
      <c r="B191" s="22">
        <f t="shared" si="54"/>
        <v>180</v>
      </c>
      <c r="C191" s="23">
        <f t="shared" si="55"/>
        <v>56878.039384401112</v>
      </c>
      <c r="D191" s="23">
        <f t="shared" si="56"/>
        <v>248.84142230675482</v>
      </c>
      <c r="E191" s="23">
        <f t="shared" si="57"/>
        <v>206.72663196031132</v>
      </c>
      <c r="F191" s="24">
        <f t="shared" si="58"/>
        <v>0</v>
      </c>
      <c r="G191" s="23">
        <f t="shared" si="59"/>
        <v>0</v>
      </c>
      <c r="H191" s="24"/>
      <c r="I191" s="23">
        <f t="shared" si="60"/>
        <v>0</v>
      </c>
      <c r="J191" s="23">
        <f t="shared" si="61"/>
        <v>206.72663196031132</v>
      </c>
      <c r="K191" s="23">
        <f t="shared" si="62"/>
        <v>56671.312752440805</v>
      </c>
      <c r="L191" s="23">
        <f t="shared" si="63"/>
        <v>455.56805426706615</v>
      </c>
      <c r="M191" s="23">
        <f t="shared" si="50"/>
        <v>0</v>
      </c>
      <c r="N191" s="23">
        <f t="shared" si="51"/>
        <v>74.652426692026438</v>
      </c>
      <c r="O191" s="23">
        <f t="shared" si="52"/>
        <v>380.91562757503971</v>
      </c>
      <c r="P191" s="23">
        <f t="shared" si="53"/>
        <v>174.18899561472838</v>
      </c>
      <c r="Q191" s="23">
        <f t="shared" si="70"/>
        <v>148577.83920432054</v>
      </c>
      <c r="R191" s="25">
        <f t="shared" si="71"/>
        <v>3244.5049598142136</v>
      </c>
    </row>
    <row r="192" spans="2:18" x14ac:dyDescent="0.25">
      <c r="B192" s="22">
        <f t="shared" si="54"/>
        <v>181</v>
      </c>
      <c r="C192" s="23">
        <f t="shared" si="55"/>
        <v>56671.312752440805</v>
      </c>
      <c r="D192" s="23">
        <f t="shared" si="56"/>
        <v>247.93699329192845</v>
      </c>
      <c r="E192" s="23">
        <f t="shared" si="57"/>
        <v>207.63106097513767</v>
      </c>
      <c r="F192" s="24">
        <f t="shared" si="58"/>
        <v>0</v>
      </c>
      <c r="G192" s="23">
        <f t="shared" si="59"/>
        <v>0</v>
      </c>
      <c r="H192" s="24"/>
      <c r="I192" s="23">
        <f t="shared" si="60"/>
        <v>0</v>
      </c>
      <c r="J192" s="23">
        <f t="shared" si="61"/>
        <v>207.63106097513767</v>
      </c>
      <c r="K192" s="23">
        <f t="shared" si="62"/>
        <v>56463.681691465667</v>
      </c>
      <c r="L192" s="23">
        <f t="shared" si="63"/>
        <v>455.56805426706615</v>
      </c>
      <c r="M192" s="23">
        <f t="shared" si="50"/>
        <v>0</v>
      </c>
      <c r="N192" s="23">
        <f t="shared" si="51"/>
        <v>74.381097987578528</v>
      </c>
      <c r="O192" s="23">
        <f t="shared" si="52"/>
        <v>381.18695627948762</v>
      </c>
      <c r="P192" s="23">
        <f t="shared" si="53"/>
        <v>173.55589530434995</v>
      </c>
      <c r="Q192" s="23">
        <f>$Q$191+ $Q$191*$L$8</f>
        <v>154520.95277249336</v>
      </c>
      <c r="R192" s="25">
        <f>$R$191 + ($R$191 * $S$5)</f>
        <v>3341.8401086086401</v>
      </c>
    </row>
    <row r="193" spans="2:18" x14ac:dyDescent="0.25">
      <c r="B193" s="22">
        <f t="shared" si="54"/>
        <v>182</v>
      </c>
      <c r="C193" s="23">
        <f t="shared" si="55"/>
        <v>56463.681691465667</v>
      </c>
      <c r="D193" s="23">
        <f t="shared" si="56"/>
        <v>247.02860740016223</v>
      </c>
      <c r="E193" s="23">
        <f t="shared" si="57"/>
        <v>208.53944686690389</v>
      </c>
      <c r="F193" s="24">
        <f t="shared" si="58"/>
        <v>0</v>
      </c>
      <c r="G193" s="23">
        <f t="shared" si="59"/>
        <v>0</v>
      </c>
      <c r="H193" s="24"/>
      <c r="I193" s="23">
        <f t="shared" si="60"/>
        <v>0</v>
      </c>
      <c r="J193" s="23">
        <f t="shared" si="61"/>
        <v>208.53944686690389</v>
      </c>
      <c r="K193" s="23">
        <f t="shared" si="62"/>
        <v>56255.142244598763</v>
      </c>
      <c r="L193" s="23">
        <f t="shared" si="63"/>
        <v>455.56805426706615</v>
      </c>
      <c r="M193" s="23">
        <f t="shared" si="50"/>
        <v>0</v>
      </c>
      <c r="N193" s="23">
        <f t="shared" si="51"/>
        <v>74.10858222004866</v>
      </c>
      <c r="O193" s="23">
        <f t="shared" si="52"/>
        <v>381.45947204701747</v>
      </c>
      <c r="P193" s="23">
        <f t="shared" si="53"/>
        <v>172.92002518011358</v>
      </c>
      <c r="Q193" s="23">
        <f t="shared" ref="Q193:Q203" si="72">$Q$191+ $Q$191*$L$8</f>
        <v>154520.95277249336</v>
      </c>
      <c r="R193" s="25">
        <f t="shared" ref="R193:R203" si="73">$R$191 + ($R$191 * $S$5)</f>
        <v>3341.8401086086401</v>
      </c>
    </row>
    <row r="194" spans="2:18" x14ac:dyDescent="0.25">
      <c r="B194" s="22">
        <f t="shared" si="54"/>
        <v>183</v>
      </c>
      <c r="C194" s="23">
        <f t="shared" si="55"/>
        <v>56255.142244598763</v>
      </c>
      <c r="D194" s="23">
        <f t="shared" si="56"/>
        <v>246.11624732011953</v>
      </c>
      <c r="E194" s="23">
        <f t="shared" si="57"/>
        <v>209.45180694694659</v>
      </c>
      <c r="F194" s="24">
        <f t="shared" si="58"/>
        <v>0</v>
      </c>
      <c r="G194" s="23">
        <f t="shared" si="59"/>
        <v>0</v>
      </c>
      <c r="H194" s="24"/>
      <c r="I194" s="23">
        <f t="shared" si="60"/>
        <v>0</v>
      </c>
      <c r="J194" s="23">
        <f t="shared" si="61"/>
        <v>209.45180694694659</v>
      </c>
      <c r="K194" s="23">
        <f t="shared" si="62"/>
        <v>56045.690437651814</v>
      </c>
      <c r="L194" s="23">
        <f t="shared" si="63"/>
        <v>455.56805426706615</v>
      </c>
      <c r="M194" s="23">
        <f t="shared" si="50"/>
        <v>0</v>
      </c>
      <c r="N194" s="23">
        <f t="shared" si="51"/>
        <v>73.834874196035855</v>
      </c>
      <c r="O194" s="23">
        <f t="shared" si="52"/>
        <v>381.73318007103029</v>
      </c>
      <c r="P194" s="23">
        <f t="shared" si="53"/>
        <v>172.2813731240837</v>
      </c>
      <c r="Q194" s="23">
        <f t="shared" si="72"/>
        <v>154520.95277249336</v>
      </c>
      <c r="R194" s="25">
        <f t="shared" si="73"/>
        <v>3341.8401086086401</v>
      </c>
    </row>
    <row r="195" spans="2:18" x14ac:dyDescent="0.25">
      <c r="B195" s="22">
        <f t="shared" si="54"/>
        <v>184</v>
      </c>
      <c r="C195" s="23">
        <f t="shared" si="55"/>
        <v>56045.690437651814</v>
      </c>
      <c r="D195" s="23">
        <f t="shared" si="56"/>
        <v>245.1998956647266</v>
      </c>
      <c r="E195" s="23">
        <f t="shared" si="57"/>
        <v>210.36815860233949</v>
      </c>
      <c r="F195" s="24">
        <f t="shared" si="58"/>
        <v>0</v>
      </c>
      <c r="G195" s="23">
        <f t="shared" si="59"/>
        <v>0</v>
      </c>
      <c r="H195" s="24"/>
      <c r="I195" s="23">
        <f t="shared" si="60"/>
        <v>0</v>
      </c>
      <c r="J195" s="23">
        <f t="shared" si="61"/>
        <v>210.36815860233949</v>
      </c>
      <c r="K195" s="23">
        <f t="shared" si="62"/>
        <v>55835.322279049476</v>
      </c>
      <c r="L195" s="23">
        <f t="shared" si="63"/>
        <v>455.56805426706609</v>
      </c>
      <c r="M195" s="23">
        <f t="shared" si="50"/>
        <v>0</v>
      </c>
      <c r="N195" s="23">
        <f t="shared" si="51"/>
        <v>73.559968699417979</v>
      </c>
      <c r="O195" s="23">
        <f t="shared" si="52"/>
        <v>382.0080855676481</v>
      </c>
      <c r="P195" s="23">
        <f t="shared" si="53"/>
        <v>171.6399269653086</v>
      </c>
      <c r="Q195" s="23">
        <f t="shared" si="72"/>
        <v>154520.95277249336</v>
      </c>
      <c r="R195" s="25">
        <f t="shared" si="73"/>
        <v>3341.8401086086401</v>
      </c>
    </row>
    <row r="196" spans="2:18" x14ac:dyDescent="0.25">
      <c r="B196" s="22">
        <f t="shared" si="54"/>
        <v>185</v>
      </c>
      <c r="C196" s="23">
        <f t="shared" si="55"/>
        <v>55835.322279049476</v>
      </c>
      <c r="D196" s="23">
        <f t="shared" si="56"/>
        <v>244.27953497084144</v>
      </c>
      <c r="E196" s="23">
        <f t="shared" si="57"/>
        <v>211.28851929622473</v>
      </c>
      <c r="F196" s="24">
        <f t="shared" si="58"/>
        <v>0</v>
      </c>
      <c r="G196" s="23">
        <f t="shared" si="59"/>
        <v>0</v>
      </c>
      <c r="H196" s="24"/>
      <c r="I196" s="23">
        <f t="shared" si="60"/>
        <v>0</v>
      </c>
      <c r="J196" s="23">
        <f t="shared" si="61"/>
        <v>211.28851929622473</v>
      </c>
      <c r="K196" s="23">
        <f t="shared" si="62"/>
        <v>55624.033759753249</v>
      </c>
      <c r="L196" s="23">
        <f t="shared" si="63"/>
        <v>455.56805426706615</v>
      </c>
      <c r="M196" s="23">
        <f t="shared" si="50"/>
        <v>0</v>
      </c>
      <c r="N196" s="23">
        <f t="shared" si="51"/>
        <v>73.283860491252426</v>
      </c>
      <c r="O196" s="23">
        <f t="shared" si="52"/>
        <v>382.28419377581372</v>
      </c>
      <c r="P196" s="23">
        <f t="shared" si="53"/>
        <v>170.99567447958898</v>
      </c>
      <c r="Q196" s="23">
        <f t="shared" si="72"/>
        <v>154520.95277249336</v>
      </c>
      <c r="R196" s="25">
        <f t="shared" si="73"/>
        <v>3341.8401086086401</v>
      </c>
    </row>
    <row r="197" spans="2:18" x14ac:dyDescent="0.25">
      <c r="B197" s="22">
        <f t="shared" si="54"/>
        <v>186</v>
      </c>
      <c r="C197" s="23">
        <f t="shared" si="55"/>
        <v>55624.033759753249</v>
      </c>
      <c r="D197" s="23">
        <f t="shared" si="56"/>
        <v>243.3551476989204</v>
      </c>
      <c r="E197" s="23">
        <f t="shared" si="57"/>
        <v>212.21290656814571</v>
      </c>
      <c r="F197" s="24">
        <f t="shared" si="58"/>
        <v>0</v>
      </c>
      <c r="G197" s="23">
        <f t="shared" si="59"/>
        <v>0</v>
      </c>
      <c r="H197" s="24"/>
      <c r="I197" s="23">
        <f t="shared" si="60"/>
        <v>0</v>
      </c>
      <c r="J197" s="23">
        <f t="shared" si="61"/>
        <v>212.21290656814571</v>
      </c>
      <c r="K197" s="23">
        <f t="shared" si="62"/>
        <v>55411.820853185105</v>
      </c>
      <c r="L197" s="23">
        <f t="shared" si="63"/>
        <v>455.56805426706615</v>
      </c>
      <c r="M197" s="23">
        <f t="shared" si="50"/>
        <v>0</v>
      </c>
      <c r="N197" s="23">
        <f t="shared" si="51"/>
        <v>73.006544309676116</v>
      </c>
      <c r="O197" s="23">
        <f t="shared" si="52"/>
        <v>382.56150995739006</v>
      </c>
      <c r="P197" s="23">
        <f t="shared" si="53"/>
        <v>170.34860338924435</v>
      </c>
      <c r="Q197" s="23">
        <f t="shared" si="72"/>
        <v>154520.95277249336</v>
      </c>
      <c r="R197" s="25">
        <f t="shared" si="73"/>
        <v>3341.8401086086401</v>
      </c>
    </row>
    <row r="198" spans="2:18" x14ac:dyDescent="0.25">
      <c r="B198" s="22">
        <f t="shared" si="54"/>
        <v>187</v>
      </c>
      <c r="C198" s="23">
        <f t="shared" si="55"/>
        <v>55411.820853185105</v>
      </c>
      <c r="D198" s="23">
        <f t="shared" si="56"/>
        <v>242.42671623268481</v>
      </c>
      <c r="E198" s="23">
        <f t="shared" si="57"/>
        <v>213.14133803438133</v>
      </c>
      <c r="F198" s="24">
        <f t="shared" si="58"/>
        <v>0</v>
      </c>
      <c r="G198" s="23">
        <f t="shared" si="59"/>
        <v>0</v>
      </c>
      <c r="H198" s="24"/>
      <c r="I198" s="23">
        <f t="shared" si="60"/>
        <v>0</v>
      </c>
      <c r="J198" s="23">
        <f t="shared" si="61"/>
        <v>213.14133803438133</v>
      </c>
      <c r="K198" s="23">
        <f t="shared" si="62"/>
        <v>55198.679515150725</v>
      </c>
      <c r="L198" s="23">
        <f t="shared" si="63"/>
        <v>455.56805426706615</v>
      </c>
      <c r="M198" s="23">
        <f t="shared" si="50"/>
        <v>0</v>
      </c>
      <c r="N198" s="23">
        <f t="shared" si="51"/>
        <v>72.728014869805435</v>
      </c>
      <c r="O198" s="23">
        <f t="shared" si="52"/>
        <v>382.84003939726074</v>
      </c>
      <c r="P198" s="23">
        <f t="shared" si="53"/>
        <v>169.6987013628794</v>
      </c>
      <c r="Q198" s="23">
        <f t="shared" si="72"/>
        <v>154520.95277249336</v>
      </c>
      <c r="R198" s="25">
        <f t="shared" si="73"/>
        <v>3341.8401086086401</v>
      </c>
    </row>
    <row r="199" spans="2:18" x14ac:dyDescent="0.25">
      <c r="B199" s="22">
        <f t="shared" si="54"/>
        <v>188</v>
      </c>
      <c r="C199" s="23">
        <f t="shared" si="55"/>
        <v>55198.679515150725</v>
      </c>
      <c r="D199" s="23">
        <f t="shared" si="56"/>
        <v>241.49422287878434</v>
      </c>
      <c r="E199" s="23">
        <f t="shared" si="57"/>
        <v>214.07383138828177</v>
      </c>
      <c r="F199" s="24">
        <f t="shared" si="58"/>
        <v>0</v>
      </c>
      <c r="G199" s="23">
        <f t="shared" si="59"/>
        <v>0</v>
      </c>
      <c r="H199" s="24"/>
      <c r="I199" s="23">
        <f t="shared" si="60"/>
        <v>0</v>
      </c>
      <c r="J199" s="23">
        <f t="shared" si="61"/>
        <v>214.07383138828177</v>
      </c>
      <c r="K199" s="23">
        <f t="shared" si="62"/>
        <v>54984.605683762442</v>
      </c>
      <c r="L199" s="23">
        <f t="shared" si="63"/>
        <v>455.56805426706615</v>
      </c>
      <c r="M199" s="23">
        <f t="shared" si="50"/>
        <v>0</v>
      </c>
      <c r="N199" s="23">
        <f t="shared" si="51"/>
        <v>72.448266863635297</v>
      </c>
      <c r="O199" s="23">
        <f t="shared" si="52"/>
        <v>383.11978740343085</v>
      </c>
      <c r="P199" s="23">
        <f t="shared" si="53"/>
        <v>169.04595601514907</v>
      </c>
      <c r="Q199" s="23">
        <f t="shared" si="72"/>
        <v>154520.95277249336</v>
      </c>
      <c r="R199" s="25">
        <f t="shared" si="73"/>
        <v>3341.8401086086401</v>
      </c>
    </row>
    <row r="200" spans="2:18" x14ac:dyDescent="0.25">
      <c r="B200" s="22">
        <f t="shared" si="54"/>
        <v>189</v>
      </c>
      <c r="C200" s="23">
        <f t="shared" si="55"/>
        <v>54984.605683762442</v>
      </c>
      <c r="D200" s="23">
        <f t="shared" si="56"/>
        <v>240.55764986646062</v>
      </c>
      <c r="E200" s="23">
        <f t="shared" si="57"/>
        <v>215.01040440060549</v>
      </c>
      <c r="F200" s="24">
        <f t="shared" si="58"/>
        <v>0</v>
      </c>
      <c r="G200" s="23">
        <f t="shared" si="59"/>
        <v>0</v>
      </c>
      <c r="H200" s="24"/>
      <c r="I200" s="23">
        <f t="shared" si="60"/>
        <v>0</v>
      </c>
      <c r="J200" s="23">
        <f t="shared" si="61"/>
        <v>215.01040440060549</v>
      </c>
      <c r="K200" s="23">
        <f t="shared" si="62"/>
        <v>54769.595279361834</v>
      </c>
      <c r="L200" s="23">
        <f t="shared" si="63"/>
        <v>455.56805426706615</v>
      </c>
      <c r="M200" s="23">
        <f t="shared" si="50"/>
        <v>0</v>
      </c>
      <c r="N200" s="23">
        <f t="shared" si="51"/>
        <v>72.167294959938189</v>
      </c>
      <c r="O200" s="23">
        <f t="shared" si="52"/>
        <v>383.40075930712794</v>
      </c>
      <c r="P200" s="23">
        <f t="shared" si="53"/>
        <v>168.39035490652245</v>
      </c>
      <c r="Q200" s="23">
        <f t="shared" si="72"/>
        <v>154520.95277249336</v>
      </c>
      <c r="R200" s="25">
        <f t="shared" si="73"/>
        <v>3341.8401086086401</v>
      </c>
    </row>
    <row r="201" spans="2:18" x14ac:dyDescent="0.25">
      <c r="B201" s="22">
        <f t="shared" si="54"/>
        <v>190</v>
      </c>
      <c r="C201" s="23">
        <f t="shared" si="55"/>
        <v>54769.595279361834</v>
      </c>
      <c r="D201" s="23">
        <f t="shared" si="56"/>
        <v>239.616979347208</v>
      </c>
      <c r="E201" s="23">
        <f t="shared" si="57"/>
        <v>215.95107491985812</v>
      </c>
      <c r="F201" s="24">
        <f t="shared" si="58"/>
        <v>0</v>
      </c>
      <c r="G201" s="23">
        <f t="shared" si="59"/>
        <v>0</v>
      </c>
      <c r="H201" s="24"/>
      <c r="I201" s="23">
        <f t="shared" si="60"/>
        <v>0</v>
      </c>
      <c r="J201" s="23">
        <f t="shared" si="61"/>
        <v>215.95107491985812</v>
      </c>
      <c r="K201" s="23">
        <f t="shared" si="62"/>
        <v>54553.644204441975</v>
      </c>
      <c r="L201" s="23">
        <f t="shared" si="63"/>
        <v>455.56805426706615</v>
      </c>
      <c r="M201" s="23">
        <f t="shared" si="50"/>
        <v>0</v>
      </c>
      <c r="N201" s="23">
        <f t="shared" si="51"/>
        <v>71.885093804162395</v>
      </c>
      <c r="O201" s="23">
        <f t="shared" si="52"/>
        <v>383.68296046290374</v>
      </c>
      <c r="P201" s="23">
        <f t="shared" si="53"/>
        <v>167.73188554304562</v>
      </c>
      <c r="Q201" s="23">
        <f t="shared" si="72"/>
        <v>154520.95277249336</v>
      </c>
      <c r="R201" s="25">
        <f t="shared" si="73"/>
        <v>3341.8401086086401</v>
      </c>
    </row>
    <row r="202" spans="2:18" x14ac:dyDescent="0.25">
      <c r="B202" s="22">
        <f t="shared" si="54"/>
        <v>191</v>
      </c>
      <c r="C202" s="23">
        <f t="shared" si="55"/>
        <v>54553.644204441975</v>
      </c>
      <c r="D202" s="23">
        <f t="shared" si="56"/>
        <v>238.67219339443363</v>
      </c>
      <c r="E202" s="23">
        <f t="shared" si="57"/>
        <v>216.89586087263248</v>
      </c>
      <c r="F202" s="24">
        <f t="shared" si="58"/>
        <v>0</v>
      </c>
      <c r="G202" s="23">
        <f t="shared" si="59"/>
        <v>0</v>
      </c>
      <c r="H202" s="24"/>
      <c r="I202" s="23">
        <f t="shared" si="60"/>
        <v>0</v>
      </c>
      <c r="J202" s="23">
        <f t="shared" si="61"/>
        <v>216.89586087263248</v>
      </c>
      <c r="K202" s="23">
        <f t="shared" si="62"/>
        <v>54336.748343569343</v>
      </c>
      <c r="L202" s="23">
        <f t="shared" si="63"/>
        <v>455.56805426706615</v>
      </c>
      <c r="M202" s="23">
        <f t="shared" si="50"/>
        <v>0</v>
      </c>
      <c r="N202" s="23">
        <f t="shared" si="51"/>
        <v>71.601658018330085</v>
      </c>
      <c r="O202" s="23">
        <f t="shared" si="52"/>
        <v>383.96639624873603</v>
      </c>
      <c r="P202" s="23">
        <f t="shared" si="53"/>
        <v>167.07053537610355</v>
      </c>
      <c r="Q202" s="23">
        <f t="shared" si="72"/>
        <v>154520.95277249336</v>
      </c>
      <c r="R202" s="25">
        <f t="shared" si="73"/>
        <v>3341.8401086086401</v>
      </c>
    </row>
    <row r="203" spans="2:18" x14ac:dyDescent="0.25">
      <c r="B203" s="22">
        <f t="shared" si="54"/>
        <v>192</v>
      </c>
      <c r="C203" s="23">
        <f t="shared" si="55"/>
        <v>54336.748343569343</v>
      </c>
      <c r="D203" s="23">
        <f t="shared" si="56"/>
        <v>237.72327400311582</v>
      </c>
      <c r="E203" s="23">
        <f t="shared" si="57"/>
        <v>217.84478026395027</v>
      </c>
      <c r="F203" s="24">
        <f t="shared" si="58"/>
        <v>0</v>
      </c>
      <c r="G203" s="23">
        <f t="shared" si="59"/>
        <v>0</v>
      </c>
      <c r="H203" s="24"/>
      <c r="I203" s="23">
        <f t="shared" si="60"/>
        <v>0</v>
      </c>
      <c r="J203" s="23">
        <f t="shared" si="61"/>
        <v>217.84478026395027</v>
      </c>
      <c r="K203" s="23">
        <f t="shared" si="62"/>
        <v>54118.903563305394</v>
      </c>
      <c r="L203" s="23">
        <f t="shared" si="63"/>
        <v>455.56805426706609</v>
      </c>
      <c r="M203" s="23">
        <f t="shared" si="50"/>
        <v>0</v>
      </c>
      <c r="N203" s="23">
        <f t="shared" si="51"/>
        <v>71.316982200934746</v>
      </c>
      <c r="O203" s="23">
        <f t="shared" si="52"/>
        <v>384.25107206613131</v>
      </c>
      <c r="P203" s="23">
        <f t="shared" si="53"/>
        <v>166.40629180218104</v>
      </c>
      <c r="Q203" s="23">
        <f t="shared" si="72"/>
        <v>154520.95277249336</v>
      </c>
      <c r="R203" s="25">
        <f t="shared" si="73"/>
        <v>3341.8401086086401</v>
      </c>
    </row>
    <row r="204" spans="2:18" x14ac:dyDescent="0.25">
      <c r="B204" s="22">
        <f t="shared" si="54"/>
        <v>193</v>
      </c>
      <c r="C204" s="23">
        <f t="shared" si="55"/>
        <v>54118.903563305394</v>
      </c>
      <c r="D204" s="23">
        <f t="shared" si="56"/>
        <v>236.77020308946103</v>
      </c>
      <c r="E204" s="23">
        <f t="shared" si="57"/>
        <v>218.79785117760508</v>
      </c>
      <c r="F204" s="24">
        <f t="shared" si="58"/>
        <v>0</v>
      </c>
      <c r="G204" s="23">
        <f t="shared" si="59"/>
        <v>0</v>
      </c>
      <c r="H204" s="24"/>
      <c r="I204" s="23">
        <f t="shared" si="60"/>
        <v>0</v>
      </c>
      <c r="J204" s="23">
        <f t="shared" si="61"/>
        <v>218.79785117760508</v>
      </c>
      <c r="K204" s="23">
        <f t="shared" si="62"/>
        <v>53900.105712127792</v>
      </c>
      <c r="L204" s="23">
        <f t="shared" si="63"/>
        <v>455.56805426706615</v>
      </c>
      <c r="M204" s="23">
        <f t="shared" ref="M204:M267" si="74">+$L$4</f>
        <v>0</v>
      </c>
      <c r="N204" s="23">
        <f t="shared" ref="N204:N267" si="75">(D204+F204)*0.3</f>
        <v>71.031060926838308</v>
      </c>
      <c r="O204" s="23">
        <f t="shared" ref="O204:O267" si="76">L204+M204-N204</f>
        <v>384.53699334022781</v>
      </c>
      <c r="P204" s="23">
        <f t="shared" ref="P204:P267" si="77">O204-E204+M204</f>
        <v>165.73914216262273</v>
      </c>
      <c r="Q204" s="23">
        <f>$Q$203+ $Q$203*$L$8</f>
        <v>160701.79088339309</v>
      </c>
      <c r="R204" s="25">
        <f>$R$203 + ($R$203 * $S$5)</f>
        <v>3442.0953118668995</v>
      </c>
    </row>
    <row r="205" spans="2:18" x14ac:dyDescent="0.25">
      <c r="B205" s="22">
        <f t="shared" ref="B205:B268" si="78">+IF(K204&gt;1,IF(B204="","",B204+1),"")</f>
        <v>194</v>
      </c>
      <c r="C205" s="23">
        <f t="shared" ref="C205:C268" si="79">+IF(B205="","",K204)</f>
        <v>53900.105712127792</v>
      </c>
      <c r="D205" s="23">
        <f t="shared" ref="D205:D268" si="80">+IF(B205="",0,-IPMT($C$5/12,B205,$C$6,$C$7))</f>
        <v>235.81296249055899</v>
      </c>
      <c r="E205" s="23">
        <f t="shared" ref="E205:E268" si="81">+IF(B205="",0,-PPMT($C$5/12,B205,$C$6,$C$7))</f>
        <v>219.7550917765071</v>
      </c>
      <c r="F205" s="24">
        <f t="shared" ref="F205:F268" si="82">+IF(B205="",0,$G$4)</f>
        <v>0</v>
      </c>
      <c r="G205" s="23">
        <f t="shared" ref="G205:G268" si="83">+IF(B205="",0,IF(C205&lt;$C$4*0.8,0,$G$5))</f>
        <v>0</v>
      </c>
      <c r="H205" s="24"/>
      <c r="I205" s="23">
        <f t="shared" ref="I205:I268" si="84">0.35/100*$C$4/12*0</f>
        <v>0</v>
      </c>
      <c r="J205" s="23">
        <f t="shared" ref="J205:J268" si="85">+IF(B205="",0,E205+H205)</f>
        <v>219.7550917765071</v>
      </c>
      <c r="K205" s="23">
        <f t="shared" ref="K205:K268" si="86">+IF(B205="","",C205-J205)</f>
        <v>53680.350620351288</v>
      </c>
      <c r="L205" s="23">
        <f t="shared" ref="L205:L268" si="87">I205+H205+G205+F205+E205+D205</f>
        <v>455.56805426706609</v>
      </c>
      <c r="M205" s="23">
        <f t="shared" si="74"/>
        <v>0</v>
      </c>
      <c r="N205" s="23">
        <f t="shared" si="75"/>
        <v>70.743888747167688</v>
      </c>
      <c r="O205" s="23">
        <f t="shared" si="76"/>
        <v>384.82416551989843</v>
      </c>
      <c r="P205" s="23">
        <f t="shared" si="77"/>
        <v>165.06907374339133</v>
      </c>
      <c r="Q205" s="23">
        <f t="shared" ref="Q205:Q215" si="88">$Q$203+ $Q$203*$L$8</f>
        <v>160701.79088339309</v>
      </c>
      <c r="R205" s="25">
        <f t="shared" ref="R205:R215" si="89">$R$203 + ($R$203 * $S$5)</f>
        <v>3442.0953118668995</v>
      </c>
    </row>
    <row r="206" spans="2:18" x14ac:dyDescent="0.25">
      <c r="B206" s="22">
        <f t="shared" si="78"/>
        <v>195</v>
      </c>
      <c r="C206" s="23">
        <f t="shared" si="79"/>
        <v>53680.350620351288</v>
      </c>
      <c r="D206" s="23">
        <f t="shared" si="80"/>
        <v>234.8515339640368</v>
      </c>
      <c r="E206" s="23">
        <f t="shared" si="81"/>
        <v>220.71652030302928</v>
      </c>
      <c r="F206" s="24">
        <f t="shared" si="82"/>
        <v>0</v>
      </c>
      <c r="G206" s="23">
        <f t="shared" si="83"/>
        <v>0</v>
      </c>
      <c r="H206" s="24"/>
      <c r="I206" s="23">
        <f t="shared" si="84"/>
        <v>0</v>
      </c>
      <c r="J206" s="23">
        <f t="shared" si="85"/>
        <v>220.71652030302928</v>
      </c>
      <c r="K206" s="23">
        <f t="shared" si="86"/>
        <v>53459.634100048257</v>
      </c>
      <c r="L206" s="23">
        <f t="shared" si="87"/>
        <v>455.56805426706609</v>
      </c>
      <c r="M206" s="23">
        <f t="shared" si="74"/>
        <v>0</v>
      </c>
      <c r="N206" s="23">
        <f t="shared" si="75"/>
        <v>70.455460189211038</v>
      </c>
      <c r="O206" s="23">
        <f t="shared" si="76"/>
        <v>385.11259407785508</v>
      </c>
      <c r="P206" s="23">
        <f t="shared" si="77"/>
        <v>164.39607377482579</v>
      </c>
      <c r="Q206" s="23">
        <f t="shared" si="88"/>
        <v>160701.79088339309</v>
      </c>
      <c r="R206" s="25">
        <f t="shared" si="89"/>
        <v>3442.0953118668995</v>
      </c>
    </row>
    <row r="207" spans="2:18" x14ac:dyDescent="0.25">
      <c r="B207" s="22">
        <f t="shared" si="78"/>
        <v>196</v>
      </c>
      <c r="C207" s="23">
        <f t="shared" si="79"/>
        <v>53459.634100048257</v>
      </c>
      <c r="D207" s="23">
        <f t="shared" si="80"/>
        <v>233.88589918771106</v>
      </c>
      <c r="E207" s="23">
        <f t="shared" si="81"/>
        <v>221.68215507935506</v>
      </c>
      <c r="F207" s="24">
        <f t="shared" si="82"/>
        <v>0</v>
      </c>
      <c r="G207" s="23">
        <f t="shared" si="83"/>
        <v>0</v>
      </c>
      <c r="H207" s="24"/>
      <c r="I207" s="23">
        <f t="shared" si="84"/>
        <v>0</v>
      </c>
      <c r="J207" s="23">
        <f t="shared" si="85"/>
        <v>221.68215507935506</v>
      </c>
      <c r="K207" s="23">
        <f t="shared" si="86"/>
        <v>53237.951944968903</v>
      </c>
      <c r="L207" s="23">
        <f t="shared" si="87"/>
        <v>455.56805426706615</v>
      </c>
      <c r="M207" s="23">
        <f t="shared" si="74"/>
        <v>0</v>
      </c>
      <c r="N207" s="23">
        <f t="shared" si="75"/>
        <v>70.16576975631331</v>
      </c>
      <c r="O207" s="23">
        <f t="shared" si="76"/>
        <v>385.40228451075285</v>
      </c>
      <c r="P207" s="23">
        <f t="shared" si="77"/>
        <v>163.72012943139779</v>
      </c>
      <c r="Q207" s="23">
        <f t="shared" si="88"/>
        <v>160701.79088339309</v>
      </c>
      <c r="R207" s="25">
        <f t="shared" si="89"/>
        <v>3442.0953118668995</v>
      </c>
    </row>
    <row r="208" spans="2:18" x14ac:dyDescent="0.25">
      <c r="B208" s="22">
        <f t="shared" si="78"/>
        <v>197</v>
      </c>
      <c r="C208" s="23">
        <f t="shared" si="79"/>
        <v>53237.951944968903</v>
      </c>
      <c r="D208" s="23">
        <f t="shared" si="80"/>
        <v>232.91603975923888</v>
      </c>
      <c r="E208" s="23">
        <f t="shared" si="81"/>
        <v>222.65201450782723</v>
      </c>
      <c r="F208" s="24">
        <f t="shared" si="82"/>
        <v>0</v>
      </c>
      <c r="G208" s="23">
        <f t="shared" si="83"/>
        <v>0</v>
      </c>
      <c r="H208" s="24"/>
      <c r="I208" s="23">
        <f t="shared" si="84"/>
        <v>0</v>
      </c>
      <c r="J208" s="23">
        <f t="shared" si="85"/>
        <v>222.65201450782723</v>
      </c>
      <c r="K208" s="23">
        <f t="shared" si="86"/>
        <v>53015.299930461078</v>
      </c>
      <c r="L208" s="23">
        <f t="shared" si="87"/>
        <v>455.56805426706615</v>
      </c>
      <c r="M208" s="23">
        <f t="shared" si="74"/>
        <v>0</v>
      </c>
      <c r="N208" s="23">
        <f t="shared" si="75"/>
        <v>69.87481192777166</v>
      </c>
      <c r="O208" s="23">
        <f t="shared" si="76"/>
        <v>385.6932423392945</v>
      </c>
      <c r="P208" s="23">
        <f t="shared" si="77"/>
        <v>163.04122783146727</v>
      </c>
      <c r="Q208" s="23">
        <f t="shared" si="88"/>
        <v>160701.79088339309</v>
      </c>
      <c r="R208" s="25">
        <f t="shared" si="89"/>
        <v>3442.0953118668995</v>
      </c>
    </row>
    <row r="209" spans="2:18" x14ac:dyDescent="0.25">
      <c r="B209" s="22">
        <f t="shared" si="78"/>
        <v>198</v>
      </c>
      <c r="C209" s="23">
        <f t="shared" si="79"/>
        <v>53015.299930461078</v>
      </c>
      <c r="D209" s="23">
        <f t="shared" si="80"/>
        <v>231.94193719576717</v>
      </c>
      <c r="E209" s="23">
        <f t="shared" si="81"/>
        <v>223.62611707129895</v>
      </c>
      <c r="F209" s="24">
        <f t="shared" si="82"/>
        <v>0</v>
      </c>
      <c r="G209" s="23">
        <f t="shared" si="83"/>
        <v>0</v>
      </c>
      <c r="H209" s="24"/>
      <c r="I209" s="23">
        <f t="shared" si="84"/>
        <v>0</v>
      </c>
      <c r="J209" s="23">
        <f t="shared" si="85"/>
        <v>223.62611707129895</v>
      </c>
      <c r="K209" s="23">
        <f t="shared" si="86"/>
        <v>52791.673813389782</v>
      </c>
      <c r="L209" s="23">
        <f t="shared" si="87"/>
        <v>455.56805426706615</v>
      </c>
      <c r="M209" s="23">
        <f t="shared" si="74"/>
        <v>0</v>
      </c>
      <c r="N209" s="23">
        <f t="shared" si="75"/>
        <v>69.58258115873015</v>
      </c>
      <c r="O209" s="23">
        <f t="shared" si="76"/>
        <v>385.98547310833601</v>
      </c>
      <c r="P209" s="23">
        <f t="shared" si="77"/>
        <v>162.35935603703706</v>
      </c>
      <c r="Q209" s="23">
        <f t="shared" si="88"/>
        <v>160701.79088339309</v>
      </c>
      <c r="R209" s="25">
        <f t="shared" si="89"/>
        <v>3442.0953118668995</v>
      </c>
    </row>
    <row r="210" spans="2:18" x14ac:dyDescent="0.25">
      <c r="B210" s="22">
        <f t="shared" si="78"/>
        <v>199</v>
      </c>
      <c r="C210" s="23">
        <f t="shared" si="79"/>
        <v>52791.673813389782</v>
      </c>
      <c r="D210" s="23">
        <f t="shared" si="80"/>
        <v>230.96357293358017</v>
      </c>
      <c r="E210" s="23">
        <f t="shared" si="81"/>
        <v>224.60448133348589</v>
      </c>
      <c r="F210" s="24">
        <f t="shared" si="82"/>
        <v>0</v>
      </c>
      <c r="G210" s="23">
        <f t="shared" si="83"/>
        <v>0</v>
      </c>
      <c r="H210" s="24"/>
      <c r="I210" s="23">
        <f t="shared" si="84"/>
        <v>0</v>
      </c>
      <c r="J210" s="23">
        <f t="shared" si="85"/>
        <v>224.60448133348589</v>
      </c>
      <c r="K210" s="23">
        <f t="shared" si="86"/>
        <v>52567.069332056293</v>
      </c>
      <c r="L210" s="23">
        <f t="shared" si="87"/>
        <v>455.56805426706603</v>
      </c>
      <c r="M210" s="23">
        <f t="shared" si="74"/>
        <v>0</v>
      </c>
      <c r="N210" s="23">
        <f t="shared" si="75"/>
        <v>69.289071880074047</v>
      </c>
      <c r="O210" s="23">
        <f t="shared" si="76"/>
        <v>386.27898238699197</v>
      </c>
      <c r="P210" s="23">
        <f t="shared" si="77"/>
        <v>161.67450105350608</v>
      </c>
      <c r="Q210" s="23">
        <f t="shared" si="88"/>
        <v>160701.79088339309</v>
      </c>
      <c r="R210" s="25">
        <f t="shared" si="89"/>
        <v>3442.0953118668995</v>
      </c>
    </row>
    <row r="211" spans="2:18" x14ac:dyDescent="0.25">
      <c r="B211" s="22">
        <f t="shared" si="78"/>
        <v>200</v>
      </c>
      <c r="C211" s="23">
        <f t="shared" si="79"/>
        <v>52567.069332056293</v>
      </c>
      <c r="D211" s="23">
        <f t="shared" si="80"/>
        <v>229.98092832774623</v>
      </c>
      <c r="E211" s="23">
        <f t="shared" si="81"/>
        <v>225.58712593931992</v>
      </c>
      <c r="F211" s="24">
        <f t="shared" si="82"/>
        <v>0</v>
      </c>
      <c r="G211" s="23">
        <f t="shared" si="83"/>
        <v>0</v>
      </c>
      <c r="H211" s="24"/>
      <c r="I211" s="23">
        <f t="shared" si="84"/>
        <v>0</v>
      </c>
      <c r="J211" s="23">
        <f t="shared" si="85"/>
        <v>225.58712593931992</v>
      </c>
      <c r="K211" s="23">
        <f t="shared" si="86"/>
        <v>52341.482206116976</v>
      </c>
      <c r="L211" s="23">
        <f t="shared" si="87"/>
        <v>455.56805426706615</v>
      </c>
      <c r="M211" s="23">
        <f t="shared" si="74"/>
        <v>0</v>
      </c>
      <c r="N211" s="23">
        <f t="shared" si="75"/>
        <v>68.994278498323865</v>
      </c>
      <c r="O211" s="23">
        <f t="shared" si="76"/>
        <v>386.57377576874228</v>
      </c>
      <c r="P211" s="23">
        <f t="shared" si="77"/>
        <v>160.98664982942236</v>
      </c>
      <c r="Q211" s="23">
        <f t="shared" si="88"/>
        <v>160701.79088339309</v>
      </c>
      <c r="R211" s="25">
        <f t="shared" si="89"/>
        <v>3442.0953118668995</v>
      </c>
    </row>
    <row r="212" spans="2:18" x14ac:dyDescent="0.25">
      <c r="B212" s="22">
        <f t="shared" si="78"/>
        <v>201</v>
      </c>
      <c r="C212" s="23">
        <f t="shared" si="79"/>
        <v>52341.482206116976</v>
      </c>
      <c r="D212" s="23">
        <f t="shared" si="80"/>
        <v>228.99398465176165</v>
      </c>
      <c r="E212" s="23">
        <f t="shared" si="81"/>
        <v>226.57406961530447</v>
      </c>
      <c r="F212" s="24">
        <f t="shared" si="82"/>
        <v>0</v>
      </c>
      <c r="G212" s="23">
        <f t="shared" si="83"/>
        <v>0</v>
      </c>
      <c r="H212" s="24"/>
      <c r="I212" s="23">
        <f t="shared" si="84"/>
        <v>0</v>
      </c>
      <c r="J212" s="23">
        <f t="shared" si="85"/>
        <v>226.57406961530447</v>
      </c>
      <c r="K212" s="23">
        <f t="shared" si="86"/>
        <v>52114.908136501668</v>
      </c>
      <c r="L212" s="23">
        <f t="shared" si="87"/>
        <v>455.56805426706615</v>
      </c>
      <c r="M212" s="23">
        <f t="shared" si="74"/>
        <v>0</v>
      </c>
      <c r="N212" s="23">
        <f t="shared" si="75"/>
        <v>68.698195395528487</v>
      </c>
      <c r="O212" s="23">
        <f t="shared" si="76"/>
        <v>386.86985887153764</v>
      </c>
      <c r="P212" s="23">
        <f t="shared" si="77"/>
        <v>160.29578925623318</v>
      </c>
      <c r="Q212" s="23">
        <f t="shared" si="88"/>
        <v>160701.79088339309</v>
      </c>
      <c r="R212" s="25">
        <f t="shared" si="89"/>
        <v>3442.0953118668995</v>
      </c>
    </row>
    <row r="213" spans="2:18" x14ac:dyDescent="0.25">
      <c r="B213" s="22">
        <f t="shared" si="78"/>
        <v>202</v>
      </c>
      <c r="C213" s="23">
        <f t="shared" si="79"/>
        <v>52114.908136501668</v>
      </c>
      <c r="D213" s="23">
        <f t="shared" si="80"/>
        <v>228.00272309719472</v>
      </c>
      <c r="E213" s="23">
        <f t="shared" si="81"/>
        <v>227.56533116987137</v>
      </c>
      <c r="F213" s="24">
        <f t="shared" si="82"/>
        <v>0</v>
      </c>
      <c r="G213" s="23">
        <f t="shared" si="83"/>
        <v>0</v>
      </c>
      <c r="H213" s="24"/>
      <c r="I213" s="23">
        <f t="shared" si="84"/>
        <v>0</v>
      </c>
      <c r="J213" s="23">
        <f t="shared" si="85"/>
        <v>227.56533116987137</v>
      </c>
      <c r="K213" s="23">
        <f t="shared" si="86"/>
        <v>51887.342805331798</v>
      </c>
      <c r="L213" s="23">
        <f t="shared" si="87"/>
        <v>455.56805426706609</v>
      </c>
      <c r="M213" s="23">
        <f t="shared" si="74"/>
        <v>0</v>
      </c>
      <c r="N213" s="23">
        <f t="shared" si="75"/>
        <v>68.40081692915841</v>
      </c>
      <c r="O213" s="23">
        <f t="shared" si="76"/>
        <v>387.16723733790769</v>
      </c>
      <c r="P213" s="23">
        <f t="shared" si="77"/>
        <v>159.60190616803632</v>
      </c>
      <c r="Q213" s="23">
        <f t="shared" si="88"/>
        <v>160701.79088339309</v>
      </c>
      <c r="R213" s="25">
        <f t="shared" si="89"/>
        <v>3442.0953118668995</v>
      </c>
    </row>
    <row r="214" spans="2:18" x14ac:dyDescent="0.25">
      <c r="B214" s="22">
        <f t="shared" si="78"/>
        <v>203</v>
      </c>
      <c r="C214" s="23">
        <f t="shared" si="79"/>
        <v>51887.342805331798</v>
      </c>
      <c r="D214" s="23">
        <f t="shared" si="80"/>
        <v>227.00712477332655</v>
      </c>
      <c r="E214" s="23">
        <f t="shared" si="81"/>
        <v>228.56092949373956</v>
      </c>
      <c r="F214" s="24">
        <f t="shared" si="82"/>
        <v>0</v>
      </c>
      <c r="G214" s="23">
        <f t="shared" si="83"/>
        <v>0</v>
      </c>
      <c r="H214" s="24"/>
      <c r="I214" s="23">
        <f t="shared" si="84"/>
        <v>0</v>
      </c>
      <c r="J214" s="23">
        <f t="shared" si="85"/>
        <v>228.56092949373956</v>
      </c>
      <c r="K214" s="23">
        <f t="shared" si="86"/>
        <v>51658.78187583806</v>
      </c>
      <c r="L214" s="23">
        <f t="shared" si="87"/>
        <v>455.56805426706615</v>
      </c>
      <c r="M214" s="23">
        <f t="shared" si="74"/>
        <v>0</v>
      </c>
      <c r="N214" s="23">
        <f t="shared" si="75"/>
        <v>68.10213743199796</v>
      </c>
      <c r="O214" s="23">
        <f t="shared" si="76"/>
        <v>387.46591683506819</v>
      </c>
      <c r="P214" s="23">
        <f t="shared" si="77"/>
        <v>158.90498734132862</v>
      </c>
      <c r="Q214" s="23">
        <f t="shared" si="88"/>
        <v>160701.79088339309</v>
      </c>
      <c r="R214" s="25">
        <f t="shared" si="89"/>
        <v>3442.0953118668995</v>
      </c>
    </row>
    <row r="215" spans="2:18" x14ac:dyDescent="0.25">
      <c r="B215" s="22">
        <f t="shared" si="78"/>
        <v>204</v>
      </c>
      <c r="C215" s="23">
        <f t="shared" si="79"/>
        <v>51658.78187583806</v>
      </c>
      <c r="D215" s="23">
        <f t="shared" si="80"/>
        <v>226.00717070679141</v>
      </c>
      <c r="E215" s="23">
        <f t="shared" si="81"/>
        <v>229.56088356027473</v>
      </c>
      <c r="F215" s="24">
        <f t="shared" si="82"/>
        <v>0</v>
      </c>
      <c r="G215" s="23">
        <f t="shared" si="83"/>
        <v>0</v>
      </c>
      <c r="H215" s="24"/>
      <c r="I215" s="23">
        <f t="shared" si="84"/>
        <v>0</v>
      </c>
      <c r="J215" s="23">
        <f t="shared" si="85"/>
        <v>229.56088356027473</v>
      </c>
      <c r="K215" s="23">
        <f t="shared" si="86"/>
        <v>51429.220992277784</v>
      </c>
      <c r="L215" s="23">
        <f t="shared" si="87"/>
        <v>455.56805426706615</v>
      </c>
      <c r="M215" s="23">
        <f t="shared" si="74"/>
        <v>0</v>
      </c>
      <c r="N215" s="23">
        <f t="shared" si="75"/>
        <v>67.802151212037415</v>
      </c>
      <c r="O215" s="23">
        <f t="shared" si="76"/>
        <v>387.76590305502873</v>
      </c>
      <c r="P215" s="23">
        <f t="shared" si="77"/>
        <v>158.205019494754</v>
      </c>
      <c r="Q215" s="23">
        <f t="shared" si="88"/>
        <v>160701.79088339309</v>
      </c>
      <c r="R215" s="25">
        <f t="shared" si="89"/>
        <v>3442.0953118668995</v>
      </c>
    </row>
    <row r="216" spans="2:18" x14ac:dyDescent="0.25">
      <c r="B216" s="22">
        <f t="shared" si="78"/>
        <v>205</v>
      </c>
      <c r="C216" s="23">
        <f t="shared" si="79"/>
        <v>51429.220992277784</v>
      </c>
      <c r="D216" s="23">
        <f t="shared" si="80"/>
        <v>225.00284184121526</v>
      </c>
      <c r="E216" s="23">
        <f t="shared" si="81"/>
        <v>230.56521242585089</v>
      </c>
      <c r="F216" s="24">
        <f t="shared" si="82"/>
        <v>0</v>
      </c>
      <c r="G216" s="23">
        <f t="shared" si="83"/>
        <v>0</v>
      </c>
      <c r="H216" s="24"/>
      <c r="I216" s="23">
        <f t="shared" si="84"/>
        <v>0</v>
      </c>
      <c r="J216" s="23">
        <f t="shared" si="85"/>
        <v>230.56521242585089</v>
      </c>
      <c r="K216" s="23">
        <f t="shared" si="86"/>
        <v>51198.655779851935</v>
      </c>
      <c r="L216" s="23">
        <f t="shared" si="87"/>
        <v>455.56805426706615</v>
      </c>
      <c r="M216" s="23">
        <f t="shared" si="74"/>
        <v>0</v>
      </c>
      <c r="N216" s="23">
        <f t="shared" si="75"/>
        <v>67.500852552364577</v>
      </c>
      <c r="O216" s="23">
        <f t="shared" si="76"/>
        <v>388.06720171470158</v>
      </c>
      <c r="P216" s="23">
        <f t="shared" si="77"/>
        <v>157.50198928885069</v>
      </c>
      <c r="Q216" s="23">
        <f>$Q$215+ $Q$215*$L$8</f>
        <v>167129.8625187288</v>
      </c>
      <c r="R216" s="25">
        <f>$R$215 + ($R$215 * $S$5)</f>
        <v>3545.3581712229065</v>
      </c>
    </row>
    <row r="217" spans="2:18" x14ac:dyDescent="0.25">
      <c r="B217" s="22">
        <f t="shared" si="78"/>
        <v>206</v>
      </c>
      <c r="C217" s="23">
        <f t="shared" si="79"/>
        <v>51198.655779851935</v>
      </c>
      <c r="D217" s="23">
        <f t="shared" si="80"/>
        <v>223.99411903685214</v>
      </c>
      <c r="E217" s="23">
        <f t="shared" si="81"/>
        <v>231.57393523021403</v>
      </c>
      <c r="F217" s="24">
        <f t="shared" si="82"/>
        <v>0</v>
      </c>
      <c r="G217" s="23">
        <f t="shared" si="83"/>
        <v>0</v>
      </c>
      <c r="H217" s="24"/>
      <c r="I217" s="23">
        <f t="shared" si="84"/>
        <v>0</v>
      </c>
      <c r="J217" s="23">
        <f t="shared" si="85"/>
        <v>231.57393523021403</v>
      </c>
      <c r="K217" s="23">
        <f t="shared" si="86"/>
        <v>50967.081844621724</v>
      </c>
      <c r="L217" s="23">
        <f t="shared" si="87"/>
        <v>455.56805426706615</v>
      </c>
      <c r="M217" s="23">
        <f t="shared" si="74"/>
        <v>0</v>
      </c>
      <c r="N217" s="23">
        <f t="shared" si="75"/>
        <v>67.198235711055645</v>
      </c>
      <c r="O217" s="23">
        <f t="shared" si="76"/>
        <v>388.3698185560105</v>
      </c>
      <c r="P217" s="23">
        <f t="shared" si="77"/>
        <v>156.79588332579647</v>
      </c>
      <c r="Q217" s="23">
        <f t="shared" ref="Q217:Q227" si="90">$Q$215+ $Q$215*$L$8</f>
        <v>167129.8625187288</v>
      </c>
      <c r="R217" s="25">
        <f t="shared" ref="R217:R227" si="91">$R$215 + ($R$215 * $S$5)</f>
        <v>3545.3581712229065</v>
      </c>
    </row>
    <row r="218" spans="2:18" x14ac:dyDescent="0.25">
      <c r="B218" s="22">
        <f t="shared" si="78"/>
        <v>207</v>
      </c>
      <c r="C218" s="23">
        <f t="shared" si="79"/>
        <v>50967.081844621724</v>
      </c>
      <c r="D218" s="23">
        <f t="shared" si="80"/>
        <v>222.98098307021996</v>
      </c>
      <c r="E218" s="23">
        <f t="shared" si="81"/>
        <v>232.58707119684621</v>
      </c>
      <c r="F218" s="24">
        <f t="shared" si="82"/>
        <v>0</v>
      </c>
      <c r="G218" s="23">
        <f t="shared" si="83"/>
        <v>0</v>
      </c>
      <c r="H218" s="24"/>
      <c r="I218" s="23">
        <f t="shared" si="84"/>
        <v>0</v>
      </c>
      <c r="J218" s="23">
        <f t="shared" si="85"/>
        <v>232.58707119684621</v>
      </c>
      <c r="K218" s="23">
        <f t="shared" si="86"/>
        <v>50734.494773424878</v>
      </c>
      <c r="L218" s="23">
        <f t="shared" si="87"/>
        <v>455.56805426706615</v>
      </c>
      <c r="M218" s="23">
        <f t="shared" si="74"/>
        <v>0</v>
      </c>
      <c r="N218" s="23">
        <f t="shared" si="75"/>
        <v>66.894294921065992</v>
      </c>
      <c r="O218" s="23">
        <f t="shared" si="76"/>
        <v>388.67375934600017</v>
      </c>
      <c r="P218" s="23">
        <f t="shared" si="77"/>
        <v>156.08668814915396</v>
      </c>
      <c r="Q218" s="23">
        <f t="shared" si="90"/>
        <v>167129.8625187288</v>
      </c>
      <c r="R218" s="25">
        <f t="shared" si="91"/>
        <v>3545.3581712229065</v>
      </c>
    </row>
    <row r="219" spans="2:18" x14ac:dyDescent="0.25">
      <c r="B219" s="22">
        <f t="shared" si="78"/>
        <v>208</v>
      </c>
      <c r="C219" s="23">
        <f t="shared" si="79"/>
        <v>50734.494773424878</v>
      </c>
      <c r="D219" s="23">
        <f t="shared" si="80"/>
        <v>221.96341463373372</v>
      </c>
      <c r="E219" s="23">
        <f t="shared" si="81"/>
        <v>233.60463963333234</v>
      </c>
      <c r="F219" s="24">
        <f t="shared" si="82"/>
        <v>0</v>
      </c>
      <c r="G219" s="23">
        <f t="shared" si="83"/>
        <v>0</v>
      </c>
      <c r="H219" s="24"/>
      <c r="I219" s="23">
        <f t="shared" si="84"/>
        <v>0</v>
      </c>
      <c r="J219" s="23">
        <f t="shared" si="85"/>
        <v>233.60463963333234</v>
      </c>
      <c r="K219" s="23">
        <f t="shared" si="86"/>
        <v>50500.890133791545</v>
      </c>
      <c r="L219" s="23">
        <f t="shared" si="87"/>
        <v>455.56805426706603</v>
      </c>
      <c r="M219" s="23">
        <f t="shared" si="74"/>
        <v>0</v>
      </c>
      <c r="N219" s="23">
        <f t="shared" si="75"/>
        <v>66.589024390120116</v>
      </c>
      <c r="O219" s="23">
        <f t="shared" si="76"/>
        <v>388.9790298769459</v>
      </c>
      <c r="P219" s="23">
        <f t="shared" si="77"/>
        <v>155.37439024361356</v>
      </c>
      <c r="Q219" s="23">
        <f t="shared" si="90"/>
        <v>167129.8625187288</v>
      </c>
      <c r="R219" s="25">
        <f t="shared" si="91"/>
        <v>3545.3581712229065</v>
      </c>
    </row>
    <row r="220" spans="2:18" x14ac:dyDescent="0.25">
      <c r="B220" s="22">
        <f t="shared" si="78"/>
        <v>209</v>
      </c>
      <c r="C220" s="23">
        <f t="shared" si="79"/>
        <v>50500.890133791545</v>
      </c>
      <c r="D220" s="23">
        <f t="shared" si="80"/>
        <v>220.94139433533789</v>
      </c>
      <c r="E220" s="23">
        <f t="shared" si="81"/>
        <v>234.62665993172817</v>
      </c>
      <c r="F220" s="24">
        <f t="shared" si="82"/>
        <v>0</v>
      </c>
      <c r="G220" s="23">
        <f t="shared" si="83"/>
        <v>0</v>
      </c>
      <c r="H220" s="24"/>
      <c r="I220" s="23">
        <f t="shared" si="84"/>
        <v>0</v>
      </c>
      <c r="J220" s="23">
        <f t="shared" si="85"/>
        <v>234.62665993172817</v>
      </c>
      <c r="K220" s="23">
        <f t="shared" si="86"/>
        <v>50266.263473859814</v>
      </c>
      <c r="L220" s="23">
        <f t="shared" si="87"/>
        <v>455.56805426706603</v>
      </c>
      <c r="M220" s="23">
        <f t="shared" si="74"/>
        <v>0</v>
      </c>
      <c r="N220" s="23">
        <f t="shared" si="75"/>
        <v>66.282418300601364</v>
      </c>
      <c r="O220" s="23">
        <f t="shared" si="76"/>
        <v>389.28563596646467</v>
      </c>
      <c r="P220" s="23">
        <f t="shared" si="77"/>
        <v>154.6589760347365</v>
      </c>
      <c r="Q220" s="23">
        <f t="shared" si="90"/>
        <v>167129.8625187288</v>
      </c>
      <c r="R220" s="25">
        <f t="shared" si="91"/>
        <v>3545.3581712229065</v>
      </c>
    </row>
    <row r="221" spans="2:18" x14ac:dyDescent="0.25">
      <c r="B221" s="22">
        <f t="shared" si="78"/>
        <v>210</v>
      </c>
      <c r="C221" s="23">
        <f t="shared" si="79"/>
        <v>50266.263473859814</v>
      </c>
      <c r="D221" s="23">
        <f t="shared" si="80"/>
        <v>219.91490269813664</v>
      </c>
      <c r="E221" s="23">
        <f t="shared" si="81"/>
        <v>235.65315156892953</v>
      </c>
      <c r="F221" s="24">
        <f t="shared" si="82"/>
        <v>0</v>
      </c>
      <c r="G221" s="23">
        <f t="shared" si="83"/>
        <v>0</v>
      </c>
      <c r="H221" s="24"/>
      <c r="I221" s="23">
        <f t="shared" si="84"/>
        <v>0</v>
      </c>
      <c r="J221" s="23">
        <f t="shared" si="85"/>
        <v>235.65315156892953</v>
      </c>
      <c r="K221" s="23">
        <f t="shared" si="86"/>
        <v>50030.610322290886</v>
      </c>
      <c r="L221" s="23">
        <f t="shared" si="87"/>
        <v>455.56805426706615</v>
      </c>
      <c r="M221" s="23">
        <f t="shared" si="74"/>
        <v>0</v>
      </c>
      <c r="N221" s="23">
        <f t="shared" si="75"/>
        <v>65.974470809440987</v>
      </c>
      <c r="O221" s="23">
        <f t="shared" si="76"/>
        <v>389.59358345762519</v>
      </c>
      <c r="P221" s="23">
        <f t="shared" si="77"/>
        <v>153.94043188869566</v>
      </c>
      <c r="Q221" s="23">
        <f t="shared" si="90"/>
        <v>167129.8625187288</v>
      </c>
      <c r="R221" s="25">
        <f t="shared" si="91"/>
        <v>3545.3581712229065</v>
      </c>
    </row>
    <row r="222" spans="2:18" x14ac:dyDescent="0.25">
      <c r="B222" s="22">
        <f t="shared" si="78"/>
        <v>211</v>
      </c>
      <c r="C222" s="23">
        <f t="shared" si="79"/>
        <v>50030.610322290886</v>
      </c>
      <c r="D222" s="23">
        <f t="shared" si="80"/>
        <v>218.88392016002254</v>
      </c>
      <c r="E222" s="23">
        <f t="shared" si="81"/>
        <v>236.6841341070436</v>
      </c>
      <c r="F222" s="24">
        <f t="shared" si="82"/>
        <v>0</v>
      </c>
      <c r="G222" s="23">
        <f t="shared" si="83"/>
        <v>0</v>
      </c>
      <c r="H222" s="24"/>
      <c r="I222" s="23">
        <f t="shared" si="84"/>
        <v>0</v>
      </c>
      <c r="J222" s="23">
        <f t="shared" si="85"/>
        <v>236.6841341070436</v>
      </c>
      <c r="K222" s="23">
        <f t="shared" si="86"/>
        <v>49793.926188183839</v>
      </c>
      <c r="L222" s="23">
        <f t="shared" si="87"/>
        <v>455.56805426706615</v>
      </c>
      <c r="M222" s="23">
        <f t="shared" si="74"/>
        <v>0</v>
      </c>
      <c r="N222" s="23">
        <f t="shared" si="75"/>
        <v>65.665176048006757</v>
      </c>
      <c r="O222" s="23">
        <f t="shared" si="76"/>
        <v>389.9028782190594</v>
      </c>
      <c r="P222" s="23">
        <f t="shared" si="77"/>
        <v>153.2187441120158</v>
      </c>
      <c r="Q222" s="23">
        <f t="shared" si="90"/>
        <v>167129.8625187288</v>
      </c>
      <c r="R222" s="25">
        <f t="shared" si="91"/>
        <v>3545.3581712229065</v>
      </c>
    </row>
    <row r="223" spans="2:18" x14ac:dyDescent="0.25">
      <c r="B223" s="22">
        <f t="shared" si="78"/>
        <v>212</v>
      </c>
      <c r="C223" s="23">
        <f t="shared" si="79"/>
        <v>49793.926188183839</v>
      </c>
      <c r="D223" s="23">
        <f t="shared" si="80"/>
        <v>217.84842707330426</v>
      </c>
      <c r="E223" s="23">
        <f t="shared" si="81"/>
        <v>237.71962719376188</v>
      </c>
      <c r="F223" s="24">
        <f t="shared" si="82"/>
        <v>0</v>
      </c>
      <c r="G223" s="23">
        <f t="shared" si="83"/>
        <v>0</v>
      </c>
      <c r="H223" s="24"/>
      <c r="I223" s="23">
        <f t="shared" si="84"/>
        <v>0</v>
      </c>
      <c r="J223" s="23">
        <f t="shared" si="85"/>
        <v>237.71962719376188</v>
      </c>
      <c r="K223" s="23">
        <f t="shared" si="86"/>
        <v>49556.206560990075</v>
      </c>
      <c r="L223" s="23">
        <f t="shared" si="87"/>
        <v>455.56805426706615</v>
      </c>
      <c r="M223" s="23">
        <f t="shared" si="74"/>
        <v>0</v>
      </c>
      <c r="N223" s="23">
        <f t="shared" si="75"/>
        <v>65.354528121991279</v>
      </c>
      <c r="O223" s="23">
        <f t="shared" si="76"/>
        <v>390.21352614507487</v>
      </c>
      <c r="P223" s="23">
        <f t="shared" si="77"/>
        <v>152.49389895131299</v>
      </c>
      <c r="Q223" s="23">
        <f t="shared" si="90"/>
        <v>167129.8625187288</v>
      </c>
      <c r="R223" s="25">
        <f t="shared" si="91"/>
        <v>3545.3581712229065</v>
      </c>
    </row>
    <row r="224" spans="2:18" x14ac:dyDescent="0.25">
      <c r="B224" s="22">
        <f t="shared" si="78"/>
        <v>213</v>
      </c>
      <c r="C224" s="23">
        <f t="shared" si="79"/>
        <v>49556.206560990075</v>
      </c>
      <c r="D224" s="23">
        <f t="shared" si="80"/>
        <v>216.80840370433151</v>
      </c>
      <c r="E224" s="23">
        <f t="shared" si="81"/>
        <v>238.75965056273461</v>
      </c>
      <c r="F224" s="24">
        <f t="shared" si="82"/>
        <v>0</v>
      </c>
      <c r="G224" s="23">
        <f t="shared" si="83"/>
        <v>0</v>
      </c>
      <c r="H224" s="24"/>
      <c r="I224" s="23">
        <f t="shared" si="84"/>
        <v>0</v>
      </c>
      <c r="J224" s="23">
        <f t="shared" si="85"/>
        <v>238.75965056273461</v>
      </c>
      <c r="K224" s="23">
        <f t="shared" si="86"/>
        <v>49317.446910427338</v>
      </c>
      <c r="L224" s="23">
        <f t="shared" si="87"/>
        <v>455.56805426706615</v>
      </c>
      <c r="M224" s="23">
        <f t="shared" si="74"/>
        <v>0</v>
      </c>
      <c r="N224" s="23">
        <f t="shared" si="75"/>
        <v>65.04252111129945</v>
      </c>
      <c r="O224" s="23">
        <f t="shared" si="76"/>
        <v>390.52553315576671</v>
      </c>
      <c r="P224" s="23">
        <f t="shared" si="77"/>
        <v>151.7658825930321</v>
      </c>
      <c r="Q224" s="23">
        <f t="shared" si="90"/>
        <v>167129.8625187288</v>
      </c>
      <c r="R224" s="25">
        <f t="shared" si="91"/>
        <v>3545.3581712229065</v>
      </c>
    </row>
    <row r="225" spans="2:18" x14ac:dyDescent="0.25">
      <c r="B225" s="22">
        <f t="shared" si="78"/>
        <v>214</v>
      </c>
      <c r="C225" s="23">
        <f t="shared" si="79"/>
        <v>49317.446910427338</v>
      </c>
      <c r="D225" s="23">
        <f t="shared" si="80"/>
        <v>215.76383023311953</v>
      </c>
      <c r="E225" s="23">
        <f t="shared" si="81"/>
        <v>239.80422403394661</v>
      </c>
      <c r="F225" s="24">
        <f t="shared" si="82"/>
        <v>0</v>
      </c>
      <c r="G225" s="23">
        <f t="shared" si="83"/>
        <v>0</v>
      </c>
      <c r="H225" s="24"/>
      <c r="I225" s="23">
        <f t="shared" si="84"/>
        <v>0</v>
      </c>
      <c r="J225" s="23">
        <f t="shared" si="85"/>
        <v>239.80422403394661</v>
      </c>
      <c r="K225" s="23">
        <f t="shared" si="86"/>
        <v>49077.642686393388</v>
      </c>
      <c r="L225" s="23">
        <f t="shared" si="87"/>
        <v>455.56805426706615</v>
      </c>
      <c r="M225" s="23">
        <f t="shared" si="74"/>
        <v>0</v>
      </c>
      <c r="N225" s="23">
        <f t="shared" si="75"/>
        <v>64.729149069935858</v>
      </c>
      <c r="O225" s="23">
        <f t="shared" si="76"/>
        <v>390.83890519713032</v>
      </c>
      <c r="P225" s="23">
        <f t="shared" si="77"/>
        <v>151.03468116318371</v>
      </c>
      <c r="Q225" s="23">
        <f t="shared" si="90"/>
        <v>167129.8625187288</v>
      </c>
      <c r="R225" s="25">
        <f t="shared" si="91"/>
        <v>3545.3581712229065</v>
      </c>
    </row>
    <row r="226" spans="2:18" x14ac:dyDescent="0.25">
      <c r="B226" s="22">
        <f t="shared" si="78"/>
        <v>215</v>
      </c>
      <c r="C226" s="23">
        <f t="shared" si="79"/>
        <v>49077.642686393388</v>
      </c>
      <c r="D226" s="23">
        <f t="shared" si="80"/>
        <v>214.71468675297106</v>
      </c>
      <c r="E226" s="23">
        <f t="shared" si="81"/>
        <v>240.85336751409508</v>
      </c>
      <c r="F226" s="24">
        <f t="shared" si="82"/>
        <v>0</v>
      </c>
      <c r="G226" s="23">
        <f t="shared" si="83"/>
        <v>0</v>
      </c>
      <c r="H226" s="24"/>
      <c r="I226" s="23">
        <f t="shared" si="84"/>
        <v>0</v>
      </c>
      <c r="J226" s="23">
        <f t="shared" si="85"/>
        <v>240.85336751409508</v>
      </c>
      <c r="K226" s="23">
        <f t="shared" si="86"/>
        <v>48836.789318879295</v>
      </c>
      <c r="L226" s="23">
        <f t="shared" si="87"/>
        <v>455.56805426706615</v>
      </c>
      <c r="M226" s="23">
        <f t="shared" si="74"/>
        <v>0</v>
      </c>
      <c r="N226" s="23">
        <f t="shared" si="75"/>
        <v>64.41440602589131</v>
      </c>
      <c r="O226" s="23">
        <f t="shared" si="76"/>
        <v>391.15364824117484</v>
      </c>
      <c r="P226" s="23">
        <f t="shared" si="77"/>
        <v>150.30028072707975</v>
      </c>
      <c r="Q226" s="23">
        <f t="shared" si="90"/>
        <v>167129.8625187288</v>
      </c>
      <c r="R226" s="25">
        <f t="shared" si="91"/>
        <v>3545.3581712229065</v>
      </c>
    </row>
    <row r="227" spans="2:18" x14ac:dyDescent="0.25">
      <c r="B227" s="22">
        <f t="shared" si="78"/>
        <v>216</v>
      </c>
      <c r="C227" s="23">
        <f t="shared" si="79"/>
        <v>48836.789318879295</v>
      </c>
      <c r="D227" s="23">
        <f t="shared" si="80"/>
        <v>213.66095327009688</v>
      </c>
      <c r="E227" s="23">
        <f t="shared" si="81"/>
        <v>241.90710099696926</v>
      </c>
      <c r="F227" s="24">
        <f t="shared" si="82"/>
        <v>0</v>
      </c>
      <c r="G227" s="23">
        <f t="shared" si="83"/>
        <v>0</v>
      </c>
      <c r="H227" s="24"/>
      <c r="I227" s="23">
        <f t="shared" si="84"/>
        <v>0</v>
      </c>
      <c r="J227" s="23">
        <f t="shared" si="85"/>
        <v>241.90710099696926</v>
      </c>
      <c r="K227" s="23">
        <f t="shared" si="86"/>
        <v>48594.882217882325</v>
      </c>
      <c r="L227" s="23">
        <f t="shared" si="87"/>
        <v>455.56805426706615</v>
      </c>
      <c r="M227" s="23">
        <f t="shared" si="74"/>
        <v>0</v>
      </c>
      <c r="N227" s="23">
        <f t="shared" si="75"/>
        <v>64.098285981029065</v>
      </c>
      <c r="O227" s="23">
        <f t="shared" si="76"/>
        <v>391.46976828603709</v>
      </c>
      <c r="P227" s="23">
        <f t="shared" si="77"/>
        <v>149.56266728906783</v>
      </c>
      <c r="Q227" s="23">
        <f t="shared" si="90"/>
        <v>167129.8625187288</v>
      </c>
      <c r="R227" s="25">
        <f t="shared" si="91"/>
        <v>3545.3581712229065</v>
      </c>
    </row>
    <row r="228" spans="2:18" x14ac:dyDescent="0.25">
      <c r="B228" s="22">
        <f t="shared" si="78"/>
        <v>217</v>
      </c>
      <c r="C228" s="23">
        <f t="shared" si="79"/>
        <v>48594.882217882325</v>
      </c>
      <c r="D228" s="23">
        <f t="shared" si="80"/>
        <v>212.60260970323512</v>
      </c>
      <c r="E228" s="23">
        <f t="shared" si="81"/>
        <v>242.965444563831</v>
      </c>
      <c r="F228" s="24">
        <f t="shared" si="82"/>
        <v>0</v>
      </c>
      <c r="G228" s="23">
        <f t="shared" si="83"/>
        <v>0</v>
      </c>
      <c r="H228" s="24"/>
      <c r="I228" s="23">
        <f t="shared" si="84"/>
        <v>0</v>
      </c>
      <c r="J228" s="23">
        <f t="shared" si="85"/>
        <v>242.965444563831</v>
      </c>
      <c r="K228" s="23">
        <f t="shared" si="86"/>
        <v>48351.916773318495</v>
      </c>
      <c r="L228" s="23">
        <f t="shared" si="87"/>
        <v>455.56805426706615</v>
      </c>
      <c r="M228" s="23">
        <f t="shared" si="74"/>
        <v>0</v>
      </c>
      <c r="N228" s="23">
        <f t="shared" si="75"/>
        <v>63.78078291097053</v>
      </c>
      <c r="O228" s="23">
        <f t="shared" si="76"/>
        <v>391.78727135609563</v>
      </c>
      <c r="P228" s="23">
        <f t="shared" si="77"/>
        <v>148.82182679226463</v>
      </c>
      <c r="Q228" s="23">
        <f>$Q$227+ $Q$227*$L$8</f>
        <v>173815.05701947794</v>
      </c>
      <c r="R228" s="25">
        <f>$R$227 + ($R$227 * $S$5)</f>
        <v>3651.7189163595935</v>
      </c>
    </row>
    <row r="229" spans="2:18" x14ac:dyDescent="0.25">
      <c r="B229" s="22">
        <f t="shared" si="78"/>
        <v>218</v>
      </c>
      <c r="C229" s="23">
        <f t="shared" si="79"/>
        <v>48351.916773318495</v>
      </c>
      <c r="D229" s="23">
        <f t="shared" si="80"/>
        <v>211.53963588326837</v>
      </c>
      <c r="E229" s="23">
        <f t="shared" si="81"/>
        <v>244.02841838379777</v>
      </c>
      <c r="F229" s="24">
        <f t="shared" si="82"/>
        <v>0</v>
      </c>
      <c r="G229" s="23">
        <f t="shared" si="83"/>
        <v>0</v>
      </c>
      <c r="H229" s="24"/>
      <c r="I229" s="23">
        <f t="shared" si="84"/>
        <v>0</v>
      </c>
      <c r="J229" s="23">
        <f t="shared" si="85"/>
        <v>244.02841838379777</v>
      </c>
      <c r="K229" s="23">
        <f t="shared" si="86"/>
        <v>48107.888354934694</v>
      </c>
      <c r="L229" s="23">
        <f t="shared" si="87"/>
        <v>455.56805426706615</v>
      </c>
      <c r="M229" s="23">
        <f t="shared" si="74"/>
        <v>0</v>
      </c>
      <c r="N229" s="23">
        <f t="shared" si="75"/>
        <v>63.46189076498051</v>
      </c>
      <c r="O229" s="23">
        <f t="shared" si="76"/>
        <v>392.10616350208562</v>
      </c>
      <c r="P229" s="23">
        <f t="shared" si="77"/>
        <v>148.07774511828785</v>
      </c>
      <c r="Q229" s="23">
        <f t="shared" ref="Q229:Q239" si="92">$Q$227+ $Q$227*$L$8</f>
        <v>173815.05701947794</v>
      </c>
      <c r="R229" s="25">
        <f t="shared" ref="R229:R239" si="93">$R$227 + ($R$227 * $S$5)</f>
        <v>3651.7189163595935</v>
      </c>
    </row>
    <row r="230" spans="2:18" x14ac:dyDescent="0.25">
      <c r="B230" s="22">
        <f t="shared" si="78"/>
        <v>219</v>
      </c>
      <c r="C230" s="23">
        <f t="shared" si="79"/>
        <v>48107.888354934694</v>
      </c>
      <c r="D230" s="23">
        <f t="shared" si="80"/>
        <v>210.47201155283926</v>
      </c>
      <c r="E230" s="23">
        <f t="shared" si="81"/>
        <v>245.09604271422688</v>
      </c>
      <c r="F230" s="24">
        <f t="shared" si="82"/>
        <v>0</v>
      </c>
      <c r="G230" s="23">
        <f t="shared" si="83"/>
        <v>0</v>
      </c>
      <c r="H230" s="24"/>
      <c r="I230" s="23">
        <f t="shared" si="84"/>
        <v>0</v>
      </c>
      <c r="J230" s="23">
        <f t="shared" si="85"/>
        <v>245.09604271422688</v>
      </c>
      <c r="K230" s="23">
        <f t="shared" si="86"/>
        <v>47862.792312220467</v>
      </c>
      <c r="L230" s="23">
        <f t="shared" si="87"/>
        <v>455.56805426706615</v>
      </c>
      <c r="M230" s="23">
        <f t="shared" si="74"/>
        <v>0</v>
      </c>
      <c r="N230" s="23">
        <f t="shared" si="75"/>
        <v>63.141603465851773</v>
      </c>
      <c r="O230" s="23">
        <f t="shared" si="76"/>
        <v>392.4264508012144</v>
      </c>
      <c r="P230" s="23">
        <f t="shared" si="77"/>
        <v>147.33040808698752</v>
      </c>
      <c r="Q230" s="23">
        <f t="shared" si="92"/>
        <v>173815.05701947794</v>
      </c>
      <c r="R230" s="25">
        <f t="shared" si="93"/>
        <v>3651.7189163595935</v>
      </c>
    </row>
    <row r="231" spans="2:18" x14ac:dyDescent="0.25">
      <c r="B231" s="22">
        <f t="shared" si="78"/>
        <v>220</v>
      </c>
      <c r="C231" s="23">
        <f t="shared" si="79"/>
        <v>47862.792312220467</v>
      </c>
      <c r="D231" s="23">
        <f t="shared" si="80"/>
        <v>209.39971636596451</v>
      </c>
      <c r="E231" s="23">
        <f t="shared" si="81"/>
        <v>246.16833790110164</v>
      </c>
      <c r="F231" s="24">
        <f t="shared" si="82"/>
        <v>0</v>
      </c>
      <c r="G231" s="23">
        <f t="shared" si="83"/>
        <v>0</v>
      </c>
      <c r="H231" s="24"/>
      <c r="I231" s="23">
        <f t="shared" si="84"/>
        <v>0</v>
      </c>
      <c r="J231" s="23">
        <f t="shared" si="85"/>
        <v>246.16833790110164</v>
      </c>
      <c r="K231" s="23">
        <f t="shared" si="86"/>
        <v>47616.623974319366</v>
      </c>
      <c r="L231" s="23">
        <f t="shared" si="87"/>
        <v>455.56805426706615</v>
      </c>
      <c r="M231" s="23">
        <f t="shared" si="74"/>
        <v>0</v>
      </c>
      <c r="N231" s="23">
        <f t="shared" si="75"/>
        <v>62.819914909789347</v>
      </c>
      <c r="O231" s="23">
        <f t="shared" si="76"/>
        <v>392.74813935727678</v>
      </c>
      <c r="P231" s="23">
        <f t="shared" si="77"/>
        <v>146.57980145617515</v>
      </c>
      <c r="Q231" s="23">
        <f t="shared" si="92"/>
        <v>173815.05701947794</v>
      </c>
      <c r="R231" s="25">
        <f t="shared" si="93"/>
        <v>3651.7189163595935</v>
      </c>
    </row>
    <row r="232" spans="2:18" x14ac:dyDescent="0.25">
      <c r="B232" s="22">
        <f t="shared" si="78"/>
        <v>221</v>
      </c>
      <c r="C232" s="23">
        <f t="shared" si="79"/>
        <v>47616.623974319366</v>
      </c>
      <c r="D232" s="23">
        <f t="shared" si="80"/>
        <v>208.32272988764717</v>
      </c>
      <c r="E232" s="23">
        <f t="shared" si="81"/>
        <v>247.24532437941897</v>
      </c>
      <c r="F232" s="24">
        <f t="shared" si="82"/>
        <v>0</v>
      </c>
      <c r="G232" s="23">
        <f t="shared" si="83"/>
        <v>0</v>
      </c>
      <c r="H232" s="24"/>
      <c r="I232" s="23">
        <f t="shared" si="84"/>
        <v>0</v>
      </c>
      <c r="J232" s="23">
        <f t="shared" si="85"/>
        <v>247.24532437941897</v>
      </c>
      <c r="K232" s="23">
        <f t="shared" si="86"/>
        <v>47369.378649939943</v>
      </c>
      <c r="L232" s="23">
        <f t="shared" si="87"/>
        <v>455.56805426706615</v>
      </c>
      <c r="M232" s="23">
        <f t="shared" si="74"/>
        <v>0</v>
      </c>
      <c r="N232" s="23">
        <f t="shared" si="75"/>
        <v>62.49681896629415</v>
      </c>
      <c r="O232" s="23">
        <f t="shared" si="76"/>
        <v>393.071235300772</v>
      </c>
      <c r="P232" s="23">
        <f t="shared" si="77"/>
        <v>145.82591092135303</v>
      </c>
      <c r="Q232" s="23">
        <f t="shared" si="92"/>
        <v>173815.05701947794</v>
      </c>
      <c r="R232" s="25">
        <f t="shared" si="93"/>
        <v>3651.7189163595935</v>
      </c>
    </row>
    <row r="233" spans="2:18" x14ac:dyDescent="0.25">
      <c r="B233" s="22">
        <f t="shared" si="78"/>
        <v>222</v>
      </c>
      <c r="C233" s="23">
        <f t="shared" si="79"/>
        <v>47369.378649939943</v>
      </c>
      <c r="D233" s="23">
        <f t="shared" si="80"/>
        <v>207.24103159348721</v>
      </c>
      <c r="E233" s="23">
        <f t="shared" si="81"/>
        <v>248.32702267357885</v>
      </c>
      <c r="F233" s="24">
        <f t="shared" si="82"/>
        <v>0</v>
      </c>
      <c r="G233" s="23">
        <f t="shared" si="83"/>
        <v>0</v>
      </c>
      <c r="H233" s="24"/>
      <c r="I233" s="23">
        <f t="shared" si="84"/>
        <v>0</v>
      </c>
      <c r="J233" s="23">
        <f t="shared" si="85"/>
        <v>248.32702267357885</v>
      </c>
      <c r="K233" s="23">
        <f t="shared" si="86"/>
        <v>47121.051627266366</v>
      </c>
      <c r="L233" s="23">
        <f t="shared" si="87"/>
        <v>455.56805426706603</v>
      </c>
      <c r="M233" s="23">
        <f t="shared" si="74"/>
        <v>0</v>
      </c>
      <c r="N233" s="23">
        <f t="shared" si="75"/>
        <v>62.172309478046159</v>
      </c>
      <c r="O233" s="23">
        <f t="shared" si="76"/>
        <v>393.39574478901989</v>
      </c>
      <c r="P233" s="23">
        <f t="shared" si="77"/>
        <v>145.06872211544103</v>
      </c>
      <c r="Q233" s="23">
        <f t="shared" si="92"/>
        <v>173815.05701947794</v>
      </c>
      <c r="R233" s="25">
        <f t="shared" si="93"/>
        <v>3651.7189163595935</v>
      </c>
    </row>
    <row r="234" spans="2:18" x14ac:dyDescent="0.25">
      <c r="B234" s="22">
        <f t="shared" si="78"/>
        <v>223</v>
      </c>
      <c r="C234" s="23">
        <f t="shared" si="79"/>
        <v>47121.051627266366</v>
      </c>
      <c r="D234" s="23">
        <f t="shared" si="80"/>
        <v>206.15460086929033</v>
      </c>
      <c r="E234" s="23">
        <f t="shared" si="81"/>
        <v>249.41345339777578</v>
      </c>
      <c r="F234" s="24">
        <f t="shared" si="82"/>
        <v>0</v>
      </c>
      <c r="G234" s="23">
        <f t="shared" si="83"/>
        <v>0</v>
      </c>
      <c r="H234" s="24"/>
      <c r="I234" s="23">
        <f t="shared" si="84"/>
        <v>0</v>
      </c>
      <c r="J234" s="23">
        <f t="shared" si="85"/>
        <v>249.41345339777578</v>
      </c>
      <c r="K234" s="23">
        <f t="shared" si="86"/>
        <v>46871.638173868589</v>
      </c>
      <c r="L234" s="23">
        <f t="shared" si="87"/>
        <v>455.56805426706615</v>
      </c>
      <c r="M234" s="23">
        <f t="shared" si="74"/>
        <v>0</v>
      </c>
      <c r="N234" s="23">
        <f t="shared" si="75"/>
        <v>61.8463802607871</v>
      </c>
      <c r="O234" s="23">
        <f t="shared" si="76"/>
        <v>393.72167400627904</v>
      </c>
      <c r="P234" s="23">
        <f t="shared" si="77"/>
        <v>144.30822060850326</v>
      </c>
      <c r="Q234" s="23">
        <f t="shared" si="92"/>
        <v>173815.05701947794</v>
      </c>
      <c r="R234" s="25">
        <f t="shared" si="93"/>
        <v>3651.7189163595935</v>
      </c>
    </row>
    <row r="235" spans="2:18" x14ac:dyDescent="0.25">
      <c r="B235" s="22">
        <f t="shared" si="78"/>
        <v>224</v>
      </c>
      <c r="C235" s="23">
        <f t="shared" si="79"/>
        <v>46871.638173868589</v>
      </c>
      <c r="D235" s="23">
        <f t="shared" si="80"/>
        <v>205.06341701067501</v>
      </c>
      <c r="E235" s="23">
        <f t="shared" si="81"/>
        <v>250.50463725639111</v>
      </c>
      <c r="F235" s="24">
        <f t="shared" si="82"/>
        <v>0</v>
      </c>
      <c r="G235" s="23">
        <f t="shared" si="83"/>
        <v>0</v>
      </c>
      <c r="H235" s="24"/>
      <c r="I235" s="23">
        <f t="shared" si="84"/>
        <v>0</v>
      </c>
      <c r="J235" s="23">
        <f t="shared" si="85"/>
        <v>250.50463725639111</v>
      </c>
      <c r="K235" s="23">
        <f t="shared" si="86"/>
        <v>46621.1335366122</v>
      </c>
      <c r="L235" s="23">
        <f t="shared" si="87"/>
        <v>455.56805426706615</v>
      </c>
      <c r="M235" s="23">
        <f t="shared" si="74"/>
        <v>0</v>
      </c>
      <c r="N235" s="23">
        <f t="shared" si="75"/>
        <v>61.519025103202502</v>
      </c>
      <c r="O235" s="23">
        <f t="shared" si="76"/>
        <v>394.04902916386362</v>
      </c>
      <c r="P235" s="23">
        <f t="shared" si="77"/>
        <v>143.54439190747252</v>
      </c>
      <c r="Q235" s="23">
        <f t="shared" si="92"/>
        <v>173815.05701947794</v>
      </c>
      <c r="R235" s="25">
        <f t="shared" si="93"/>
        <v>3651.7189163595935</v>
      </c>
    </row>
    <row r="236" spans="2:18" x14ac:dyDescent="0.25">
      <c r="B236" s="22">
        <f t="shared" si="78"/>
        <v>225</v>
      </c>
      <c r="C236" s="23">
        <f t="shared" si="79"/>
        <v>46621.1335366122</v>
      </c>
      <c r="D236" s="23">
        <f t="shared" si="80"/>
        <v>203.96745922267831</v>
      </c>
      <c r="E236" s="23">
        <f t="shared" si="81"/>
        <v>251.60059504438775</v>
      </c>
      <c r="F236" s="24">
        <f t="shared" si="82"/>
        <v>0</v>
      </c>
      <c r="G236" s="23">
        <f t="shared" si="83"/>
        <v>0</v>
      </c>
      <c r="H236" s="24"/>
      <c r="I236" s="23">
        <f t="shared" si="84"/>
        <v>0</v>
      </c>
      <c r="J236" s="23">
        <f t="shared" si="85"/>
        <v>251.60059504438775</v>
      </c>
      <c r="K236" s="23">
        <f t="shared" si="86"/>
        <v>46369.532941567813</v>
      </c>
      <c r="L236" s="23">
        <f t="shared" si="87"/>
        <v>455.56805426706603</v>
      </c>
      <c r="M236" s="23">
        <f t="shared" si="74"/>
        <v>0</v>
      </c>
      <c r="N236" s="23">
        <f t="shared" si="75"/>
        <v>61.190237766803492</v>
      </c>
      <c r="O236" s="23">
        <f t="shared" si="76"/>
        <v>394.37781650026255</v>
      </c>
      <c r="P236" s="23">
        <f t="shared" si="77"/>
        <v>142.77722145587481</v>
      </c>
      <c r="Q236" s="23">
        <f t="shared" si="92"/>
        <v>173815.05701947794</v>
      </c>
      <c r="R236" s="25">
        <f t="shared" si="93"/>
        <v>3651.7189163595935</v>
      </c>
    </row>
    <row r="237" spans="2:18" x14ac:dyDescent="0.25">
      <c r="B237" s="22">
        <f t="shared" si="78"/>
        <v>226</v>
      </c>
      <c r="C237" s="23">
        <f t="shared" si="79"/>
        <v>46369.532941567813</v>
      </c>
      <c r="D237" s="23">
        <f t="shared" si="80"/>
        <v>202.86670661935912</v>
      </c>
      <c r="E237" s="23">
        <f t="shared" si="81"/>
        <v>252.70134764770697</v>
      </c>
      <c r="F237" s="24">
        <f t="shared" si="82"/>
        <v>0</v>
      </c>
      <c r="G237" s="23">
        <f t="shared" si="83"/>
        <v>0</v>
      </c>
      <c r="H237" s="24"/>
      <c r="I237" s="23">
        <f t="shared" si="84"/>
        <v>0</v>
      </c>
      <c r="J237" s="23">
        <f t="shared" si="85"/>
        <v>252.70134764770697</v>
      </c>
      <c r="K237" s="23">
        <f t="shared" si="86"/>
        <v>46116.831593920106</v>
      </c>
      <c r="L237" s="23">
        <f t="shared" si="87"/>
        <v>455.56805426706609</v>
      </c>
      <c r="M237" s="23">
        <f t="shared" si="74"/>
        <v>0</v>
      </c>
      <c r="N237" s="23">
        <f t="shared" si="75"/>
        <v>60.860011985807731</v>
      </c>
      <c r="O237" s="23">
        <f t="shared" si="76"/>
        <v>394.70804228125837</v>
      </c>
      <c r="P237" s="23">
        <f t="shared" si="77"/>
        <v>142.0066946335514</v>
      </c>
      <c r="Q237" s="23">
        <f t="shared" si="92"/>
        <v>173815.05701947794</v>
      </c>
      <c r="R237" s="25">
        <f t="shared" si="93"/>
        <v>3651.7189163595935</v>
      </c>
    </row>
    <row r="238" spans="2:18" x14ac:dyDescent="0.25">
      <c r="B238" s="22">
        <f t="shared" si="78"/>
        <v>227</v>
      </c>
      <c r="C238" s="23">
        <f t="shared" si="79"/>
        <v>46116.831593920106</v>
      </c>
      <c r="D238" s="23">
        <f t="shared" si="80"/>
        <v>201.76113822340045</v>
      </c>
      <c r="E238" s="23">
        <f t="shared" si="81"/>
        <v>253.80691604366569</v>
      </c>
      <c r="F238" s="24">
        <f t="shared" si="82"/>
        <v>0</v>
      </c>
      <c r="G238" s="23">
        <f t="shared" si="83"/>
        <v>0</v>
      </c>
      <c r="H238" s="24"/>
      <c r="I238" s="23">
        <f t="shared" si="84"/>
        <v>0</v>
      </c>
      <c r="J238" s="23">
        <f t="shared" si="85"/>
        <v>253.80691604366569</v>
      </c>
      <c r="K238" s="23">
        <f t="shared" si="86"/>
        <v>45863.024677876441</v>
      </c>
      <c r="L238" s="23">
        <f t="shared" si="87"/>
        <v>455.56805426706615</v>
      </c>
      <c r="M238" s="23">
        <f t="shared" si="74"/>
        <v>0</v>
      </c>
      <c r="N238" s="23">
        <f t="shared" si="75"/>
        <v>60.528341467020134</v>
      </c>
      <c r="O238" s="23">
        <f t="shared" si="76"/>
        <v>395.039712800046</v>
      </c>
      <c r="P238" s="23">
        <f t="shared" si="77"/>
        <v>141.23279675638031</v>
      </c>
      <c r="Q238" s="23">
        <f t="shared" si="92"/>
        <v>173815.05701947794</v>
      </c>
      <c r="R238" s="25">
        <f t="shared" si="93"/>
        <v>3651.7189163595935</v>
      </c>
    </row>
    <row r="239" spans="2:18" x14ac:dyDescent="0.25">
      <c r="B239" s="22">
        <f t="shared" si="78"/>
        <v>228</v>
      </c>
      <c r="C239" s="23">
        <f t="shared" si="79"/>
        <v>45863.024677876441</v>
      </c>
      <c r="D239" s="23">
        <f t="shared" si="80"/>
        <v>200.65073296570938</v>
      </c>
      <c r="E239" s="23">
        <f t="shared" si="81"/>
        <v>254.91732130135671</v>
      </c>
      <c r="F239" s="24">
        <f t="shared" si="82"/>
        <v>0</v>
      </c>
      <c r="G239" s="23">
        <f t="shared" si="83"/>
        <v>0</v>
      </c>
      <c r="H239" s="24"/>
      <c r="I239" s="23">
        <f t="shared" si="84"/>
        <v>0</v>
      </c>
      <c r="J239" s="23">
        <f t="shared" si="85"/>
        <v>254.91732130135671</v>
      </c>
      <c r="K239" s="23">
        <f t="shared" si="86"/>
        <v>45608.107356575085</v>
      </c>
      <c r="L239" s="23">
        <f t="shared" si="87"/>
        <v>455.56805426706609</v>
      </c>
      <c r="M239" s="23">
        <f t="shared" si="74"/>
        <v>0</v>
      </c>
      <c r="N239" s="23">
        <f t="shared" si="75"/>
        <v>60.19521988971281</v>
      </c>
      <c r="O239" s="23">
        <f t="shared" si="76"/>
        <v>395.37283437735329</v>
      </c>
      <c r="P239" s="23">
        <f t="shared" si="77"/>
        <v>140.45551307599658</v>
      </c>
      <c r="Q239" s="23">
        <f t="shared" si="92"/>
        <v>173815.05701947794</v>
      </c>
      <c r="R239" s="25">
        <f t="shared" si="93"/>
        <v>3651.7189163595935</v>
      </c>
    </row>
    <row r="240" spans="2:18" x14ac:dyDescent="0.25">
      <c r="B240" s="22">
        <f t="shared" si="78"/>
        <v>229</v>
      </c>
      <c r="C240" s="23">
        <f t="shared" si="79"/>
        <v>45608.107356575085</v>
      </c>
      <c r="D240" s="23">
        <f t="shared" si="80"/>
        <v>199.53546968501593</v>
      </c>
      <c r="E240" s="23">
        <f t="shared" si="81"/>
        <v>256.03258458205016</v>
      </c>
      <c r="F240" s="24">
        <f t="shared" si="82"/>
        <v>0</v>
      </c>
      <c r="G240" s="23">
        <f t="shared" si="83"/>
        <v>0</v>
      </c>
      <c r="H240" s="24"/>
      <c r="I240" s="23">
        <f t="shared" si="84"/>
        <v>0</v>
      </c>
      <c r="J240" s="23">
        <f t="shared" si="85"/>
        <v>256.03258458205016</v>
      </c>
      <c r="K240" s="23">
        <f t="shared" si="86"/>
        <v>45352.074771993037</v>
      </c>
      <c r="L240" s="23">
        <f t="shared" si="87"/>
        <v>455.56805426706609</v>
      </c>
      <c r="M240" s="23">
        <f t="shared" si="74"/>
        <v>0</v>
      </c>
      <c r="N240" s="23">
        <f t="shared" si="75"/>
        <v>59.860640905504773</v>
      </c>
      <c r="O240" s="23">
        <f t="shared" si="76"/>
        <v>395.70741336156129</v>
      </c>
      <c r="P240" s="23">
        <f t="shared" si="77"/>
        <v>139.67482877951113</v>
      </c>
      <c r="Q240" s="23">
        <f>$Q$239+ $Q$239*$L$8</f>
        <v>180767.65930025707</v>
      </c>
      <c r="R240" s="25">
        <f>$R$239 + ($R$239 * $S$5)</f>
        <v>3761.2704838503814</v>
      </c>
    </row>
    <row r="241" spans="2:18" x14ac:dyDescent="0.25">
      <c r="B241" s="22">
        <f t="shared" si="78"/>
        <v>230</v>
      </c>
      <c r="C241" s="23">
        <f t="shared" si="79"/>
        <v>45352.074771993037</v>
      </c>
      <c r="D241" s="23">
        <f t="shared" si="80"/>
        <v>198.41532712746948</v>
      </c>
      <c r="E241" s="23">
        <f t="shared" si="81"/>
        <v>257.15272713959666</v>
      </c>
      <c r="F241" s="24">
        <f t="shared" si="82"/>
        <v>0</v>
      </c>
      <c r="G241" s="23">
        <f t="shared" si="83"/>
        <v>0</v>
      </c>
      <c r="H241" s="24"/>
      <c r="I241" s="23">
        <f t="shared" si="84"/>
        <v>0</v>
      </c>
      <c r="J241" s="23">
        <f t="shared" si="85"/>
        <v>257.15272713959666</v>
      </c>
      <c r="K241" s="23">
        <f t="shared" si="86"/>
        <v>45094.92204485344</v>
      </c>
      <c r="L241" s="23">
        <f t="shared" si="87"/>
        <v>455.56805426706615</v>
      </c>
      <c r="M241" s="23">
        <f t="shared" si="74"/>
        <v>0</v>
      </c>
      <c r="N241" s="23">
        <f t="shared" si="75"/>
        <v>59.52459813824084</v>
      </c>
      <c r="O241" s="23">
        <f t="shared" si="76"/>
        <v>396.04345612882531</v>
      </c>
      <c r="P241" s="23">
        <f t="shared" si="77"/>
        <v>138.89072898922865</v>
      </c>
      <c r="Q241" s="23">
        <f t="shared" ref="Q241:Q251" si="94">$Q$239+ $Q$239*$L$8</f>
        <v>180767.65930025707</v>
      </c>
      <c r="R241" s="25">
        <f t="shared" ref="R241:R251" si="95">$R$239 + ($R$239 * $S$5)</f>
        <v>3761.2704838503814</v>
      </c>
    </row>
    <row r="242" spans="2:18" x14ac:dyDescent="0.25">
      <c r="B242" s="22">
        <f t="shared" si="78"/>
        <v>231</v>
      </c>
      <c r="C242" s="23">
        <f t="shared" si="79"/>
        <v>45094.92204485344</v>
      </c>
      <c r="D242" s="23">
        <f t="shared" si="80"/>
        <v>197.29028394623373</v>
      </c>
      <c r="E242" s="23">
        <f t="shared" si="81"/>
        <v>258.27777032083242</v>
      </c>
      <c r="F242" s="24">
        <f t="shared" si="82"/>
        <v>0</v>
      </c>
      <c r="G242" s="23">
        <f t="shared" si="83"/>
        <v>0</v>
      </c>
      <c r="H242" s="24"/>
      <c r="I242" s="23">
        <f t="shared" si="84"/>
        <v>0</v>
      </c>
      <c r="J242" s="23">
        <f t="shared" si="85"/>
        <v>258.27777032083242</v>
      </c>
      <c r="K242" s="23">
        <f t="shared" si="86"/>
        <v>44836.644274532606</v>
      </c>
      <c r="L242" s="23">
        <f t="shared" si="87"/>
        <v>455.56805426706615</v>
      </c>
      <c r="M242" s="23">
        <f t="shared" si="74"/>
        <v>0</v>
      </c>
      <c r="N242" s="23">
        <f t="shared" si="75"/>
        <v>59.187085183870117</v>
      </c>
      <c r="O242" s="23">
        <f t="shared" si="76"/>
        <v>396.38096908319602</v>
      </c>
      <c r="P242" s="23">
        <f t="shared" si="77"/>
        <v>138.1031987623636</v>
      </c>
      <c r="Q242" s="23">
        <f t="shared" si="94"/>
        <v>180767.65930025707</v>
      </c>
      <c r="R242" s="25">
        <f t="shared" si="95"/>
        <v>3761.2704838503814</v>
      </c>
    </row>
    <row r="243" spans="2:18" x14ac:dyDescent="0.25">
      <c r="B243" s="22">
        <f t="shared" si="78"/>
        <v>232</v>
      </c>
      <c r="C243" s="23">
        <f t="shared" si="79"/>
        <v>44836.644274532606</v>
      </c>
      <c r="D243" s="23">
        <f t="shared" si="80"/>
        <v>196.16031870108014</v>
      </c>
      <c r="E243" s="23">
        <f t="shared" si="81"/>
        <v>259.407735565986</v>
      </c>
      <c r="F243" s="24">
        <f t="shared" si="82"/>
        <v>0</v>
      </c>
      <c r="G243" s="23">
        <f t="shared" si="83"/>
        <v>0</v>
      </c>
      <c r="H243" s="24"/>
      <c r="I243" s="23">
        <f t="shared" si="84"/>
        <v>0</v>
      </c>
      <c r="J243" s="23">
        <f t="shared" si="85"/>
        <v>259.407735565986</v>
      </c>
      <c r="K243" s="23">
        <f t="shared" si="86"/>
        <v>44577.236538966623</v>
      </c>
      <c r="L243" s="23">
        <f t="shared" si="87"/>
        <v>455.56805426706615</v>
      </c>
      <c r="M243" s="23">
        <f t="shared" si="74"/>
        <v>0</v>
      </c>
      <c r="N243" s="23">
        <f t="shared" si="75"/>
        <v>58.848095610324037</v>
      </c>
      <c r="O243" s="23">
        <f t="shared" si="76"/>
        <v>396.71995865674211</v>
      </c>
      <c r="P243" s="23">
        <f t="shared" si="77"/>
        <v>137.31222309075611</v>
      </c>
      <c r="Q243" s="23">
        <f t="shared" si="94"/>
        <v>180767.65930025707</v>
      </c>
      <c r="R243" s="25">
        <f t="shared" si="95"/>
        <v>3761.2704838503814</v>
      </c>
    </row>
    <row r="244" spans="2:18" x14ac:dyDescent="0.25">
      <c r="B244" s="22">
        <f t="shared" si="78"/>
        <v>233</v>
      </c>
      <c r="C244" s="23">
        <f t="shared" si="79"/>
        <v>44577.236538966623</v>
      </c>
      <c r="D244" s="23">
        <f t="shared" si="80"/>
        <v>195.0254098579789</v>
      </c>
      <c r="E244" s="23">
        <f t="shared" si="81"/>
        <v>260.54264440908719</v>
      </c>
      <c r="F244" s="24">
        <f t="shared" si="82"/>
        <v>0</v>
      </c>
      <c r="G244" s="23">
        <f t="shared" si="83"/>
        <v>0</v>
      </c>
      <c r="H244" s="24"/>
      <c r="I244" s="23">
        <f t="shared" si="84"/>
        <v>0</v>
      </c>
      <c r="J244" s="23">
        <f t="shared" si="85"/>
        <v>260.54264440908719</v>
      </c>
      <c r="K244" s="23">
        <f t="shared" si="86"/>
        <v>44316.693894557538</v>
      </c>
      <c r="L244" s="23">
        <f t="shared" si="87"/>
        <v>455.56805426706609</v>
      </c>
      <c r="M244" s="23">
        <f t="shared" si="74"/>
        <v>0</v>
      </c>
      <c r="N244" s="23">
        <f t="shared" si="75"/>
        <v>58.507622957393664</v>
      </c>
      <c r="O244" s="23">
        <f t="shared" si="76"/>
        <v>397.06043130967242</v>
      </c>
      <c r="P244" s="23">
        <f t="shared" si="77"/>
        <v>136.51778690058524</v>
      </c>
      <c r="Q244" s="23">
        <f t="shared" si="94"/>
        <v>180767.65930025707</v>
      </c>
      <c r="R244" s="25">
        <f t="shared" si="95"/>
        <v>3761.2704838503814</v>
      </c>
    </row>
    <row r="245" spans="2:18" x14ac:dyDescent="0.25">
      <c r="B245" s="22">
        <f t="shared" si="78"/>
        <v>234</v>
      </c>
      <c r="C245" s="23">
        <f t="shared" si="79"/>
        <v>44316.693894557538</v>
      </c>
      <c r="D245" s="23">
        <f t="shared" si="80"/>
        <v>193.88553578868917</v>
      </c>
      <c r="E245" s="23">
        <f t="shared" si="81"/>
        <v>261.68251847837701</v>
      </c>
      <c r="F245" s="24">
        <f t="shared" si="82"/>
        <v>0</v>
      </c>
      <c r="G245" s="23">
        <f t="shared" si="83"/>
        <v>0</v>
      </c>
      <c r="H245" s="24"/>
      <c r="I245" s="23">
        <f t="shared" si="84"/>
        <v>0</v>
      </c>
      <c r="J245" s="23">
        <f t="shared" si="85"/>
        <v>261.68251847837701</v>
      </c>
      <c r="K245" s="23">
        <f t="shared" si="86"/>
        <v>44055.011376079165</v>
      </c>
      <c r="L245" s="23">
        <f t="shared" si="87"/>
        <v>455.56805426706615</v>
      </c>
      <c r="M245" s="23">
        <f t="shared" si="74"/>
        <v>0</v>
      </c>
      <c r="N245" s="23">
        <f t="shared" si="75"/>
        <v>58.165660736606746</v>
      </c>
      <c r="O245" s="23">
        <f t="shared" si="76"/>
        <v>397.40239353045939</v>
      </c>
      <c r="P245" s="23">
        <f t="shared" si="77"/>
        <v>135.71987505208239</v>
      </c>
      <c r="Q245" s="23">
        <f t="shared" si="94"/>
        <v>180767.65930025707</v>
      </c>
      <c r="R245" s="25">
        <f t="shared" si="95"/>
        <v>3761.2704838503814</v>
      </c>
    </row>
    <row r="246" spans="2:18" x14ac:dyDescent="0.25">
      <c r="B246" s="22">
        <f t="shared" si="78"/>
        <v>235</v>
      </c>
      <c r="C246" s="23">
        <f t="shared" si="79"/>
        <v>44055.011376079165</v>
      </c>
      <c r="D246" s="23">
        <f t="shared" si="80"/>
        <v>192.74067477034629</v>
      </c>
      <c r="E246" s="23">
        <f t="shared" si="81"/>
        <v>262.82737949671986</v>
      </c>
      <c r="F246" s="24">
        <f t="shared" si="82"/>
        <v>0</v>
      </c>
      <c r="G246" s="23">
        <f t="shared" si="83"/>
        <v>0</v>
      </c>
      <c r="H246" s="24"/>
      <c r="I246" s="23">
        <f t="shared" si="84"/>
        <v>0</v>
      </c>
      <c r="J246" s="23">
        <f t="shared" si="85"/>
        <v>262.82737949671986</v>
      </c>
      <c r="K246" s="23">
        <f t="shared" si="86"/>
        <v>43792.183996582447</v>
      </c>
      <c r="L246" s="23">
        <f t="shared" si="87"/>
        <v>455.56805426706615</v>
      </c>
      <c r="M246" s="23">
        <f t="shared" si="74"/>
        <v>0</v>
      </c>
      <c r="N246" s="23">
        <f t="shared" si="75"/>
        <v>57.822202431103882</v>
      </c>
      <c r="O246" s="23">
        <f t="shared" si="76"/>
        <v>397.74585183596224</v>
      </c>
      <c r="P246" s="23">
        <f t="shared" si="77"/>
        <v>134.91847233924238</v>
      </c>
      <c r="Q246" s="23">
        <f t="shared" si="94"/>
        <v>180767.65930025707</v>
      </c>
      <c r="R246" s="25">
        <f t="shared" si="95"/>
        <v>3761.2704838503814</v>
      </c>
    </row>
    <row r="247" spans="2:18" x14ac:dyDescent="0.25">
      <c r="B247" s="22">
        <f t="shared" si="78"/>
        <v>236</v>
      </c>
      <c r="C247" s="23">
        <f t="shared" si="79"/>
        <v>43792.183996582447</v>
      </c>
      <c r="D247" s="23">
        <f t="shared" si="80"/>
        <v>191.59080498504815</v>
      </c>
      <c r="E247" s="23">
        <f t="shared" si="81"/>
        <v>263.97724928201802</v>
      </c>
      <c r="F247" s="24">
        <f t="shared" si="82"/>
        <v>0</v>
      </c>
      <c r="G247" s="23">
        <f t="shared" si="83"/>
        <v>0</v>
      </c>
      <c r="H247" s="24"/>
      <c r="I247" s="23">
        <f t="shared" si="84"/>
        <v>0</v>
      </c>
      <c r="J247" s="23">
        <f t="shared" si="85"/>
        <v>263.97724928201802</v>
      </c>
      <c r="K247" s="23">
        <f t="shared" si="86"/>
        <v>43528.206747300428</v>
      </c>
      <c r="L247" s="23">
        <f t="shared" si="87"/>
        <v>455.56805426706615</v>
      </c>
      <c r="M247" s="23">
        <f t="shared" si="74"/>
        <v>0</v>
      </c>
      <c r="N247" s="23">
        <f t="shared" si="75"/>
        <v>57.477241495514441</v>
      </c>
      <c r="O247" s="23">
        <f t="shared" si="76"/>
        <v>398.09081277155173</v>
      </c>
      <c r="P247" s="23">
        <f t="shared" si="77"/>
        <v>134.1135634895337</v>
      </c>
      <c r="Q247" s="23">
        <f t="shared" si="94"/>
        <v>180767.65930025707</v>
      </c>
      <c r="R247" s="25">
        <f t="shared" si="95"/>
        <v>3761.2704838503814</v>
      </c>
    </row>
    <row r="248" spans="2:18" x14ac:dyDescent="0.25">
      <c r="B248" s="22">
        <f t="shared" si="78"/>
        <v>237</v>
      </c>
      <c r="C248" s="23">
        <f t="shared" si="79"/>
        <v>43528.206747300428</v>
      </c>
      <c r="D248" s="23">
        <f t="shared" si="80"/>
        <v>190.43590451943925</v>
      </c>
      <c r="E248" s="23">
        <f t="shared" si="81"/>
        <v>265.13214974762684</v>
      </c>
      <c r="F248" s="24">
        <f t="shared" si="82"/>
        <v>0</v>
      </c>
      <c r="G248" s="23">
        <f t="shared" si="83"/>
        <v>0</v>
      </c>
      <c r="H248" s="24"/>
      <c r="I248" s="23">
        <f t="shared" si="84"/>
        <v>0</v>
      </c>
      <c r="J248" s="23">
        <f t="shared" si="85"/>
        <v>265.13214974762684</v>
      </c>
      <c r="K248" s="23">
        <f t="shared" si="86"/>
        <v>43263.074597552804</v>
      </c>
      <c r="L248" s="23">
        <f t="shared" si="87"/>
        <v>455.56805426706609</v>
      </c>
      <c r="M248" s="23">
        <f t="shared" si="74"/>
        <v>0</v>
      </c>
      <c r="N248" s="23">
        <f t="shared" si="75"/>
        <v>57.130771355831776</v>
      </c>
      <c r="O248" s="23">
        <f t="shared" si="76"/>
        <v>398.43728291123432</v>
      </c>
      <c r="P248" s="23">
        <f t="shared" si="77"/>
        <v>133.30513316360748</v>
      </c>
      <c r="Q248" s="23">
        <f t="shared" si="94"/>
        <v>180767.65930025707</v>
      </c>
      <c r="R248" s="25">
        <f t="shared" si="95"/>
        <v>3761.2704838503814</v>
      </c>
    </row>
    <row r="249" spans="2:18" x14ac:dyDescent="0.25">
      <c r="B249" s="22">
        <f t="shared" si="78"/>
        <v>238</v>
      </c>
      <c r="C249" s="23">
        <f t="shared" si="79"/>
        <v>43263.074597552804</v>
      </c>
      <c r="D249" s="23">
        <f t="shared" si="80"/>
        <v>189.27595136429338</v>
      </c>
      <c r="E249" s="23">
        <f t="shared" si="81"/>
        <v>266.29210290277274</v>
      </c>
      <c r="F249" s="24">
        <f t="shared" si="82"/>
        <v>0</v>
      </c>
      <c r="G249" s="23">
        <f t="shared" si="83"/>
        <v>0</v>
      </c>
      <c r="H249" s="24"/>
      <c r="I249" s="23">
        <f t="shared" si="84"/>
        <v>0</v>
      </c>
      <c r="J249" s="23">
        <f t="shared" si="85"/>
        <v>266.29210290277274</v>
      </c>
      <c r="K249" s="23">
        <f t="shared" si="86"/>
        <v>42996.782494650033</v>
      </c>
      <c r="L249" s="23">
        <f t="shared" si="87"/>
        <v>455.56805426706615</v>
      </c>
      <c r="M249" s="23">
        <f t="shared" si="74"/>
        <v>0</v>
      </c>
      <c r="N249" s="23">
        <f t="shared" si="75"/>
        <v>56.78278540928801</v>
      </c>
      <c r="O249" s="23">
        <f t="shared" si="76"/>
        <v>398.78526885777814</v>
      </c>
      <c r="P249" s="23">
        <f t="shared" si="77"/>
        <v>132.4931659550054</v>
      </c>
      <c r="Q249" s="23">
        <f t="shared" si="94"/>
        <v>180767.65930025707</v>
      </c>
      <c r="R249" s="25">
        <f t="shared" si="95"/>
        <v>3761.2704838503814</v>
      </c>
    </row>
    <row r="250" spans="2:18" x14ac:dyDescent="0.25">
      <c r="B250" s="22">
        <f t="shared" si="78"/>
        <v>239</v>
      </c>
      <c r="C250" s="23">
        <f t="shared" si="79"/>
        <v>42996.782494650033</v>
      </c>
      <c r="D250" s="23">
        <f t="shared" si="80"/>
        <v>188.11092341409378</v>
      </c>
      <c r="E250" s="23">
        <f t="shared" si="81"/>
        <v>267.45713085297234</v>
      </c>
      <c r="F250" s="24">
        <f t="shared" si="82"/>
        <v>0</v>
      </c>
      <c r="G250" s="23">
        <f t="shared" si="83"/>
        <v>0</v>
      </c>
      <c r="H250" s="24"/>
      <c r="I250" s="23">
        <f t="shared" si="84"/>
        <v>0</v>
      </c>
      <c r="J250" s="23">
        <f t="shared" si="85"/>
        <v>267.45713085297234</v>
      </c>
      <c r="K250" s="23">
        <f t="shared" si="86"/>
        <v>42729.325363797063</v>
      </c>
      <c r="L250" s="23">
        <f t="shared" si="87"/>
        <v>455.56805426706615</v>
      </c>
      <c r="M250" s="23">
        <f t="shared" si="74"/>
        <v>0</v>
      </c>
      <c r="N250" s="23">
        <f t="shared" si="75"/>
        <v>56.433277024228133</v>
      </c>
      <c r="O250" s="23">
        <f t="shared" si="76"/>
        <v>399.13477724283803</v>
      </c>
      <c r="P250" s="23">
        <f t="shared" si="77"/>
        <v>131.67764638986569</v>
      </c>
      <c r="Q250" s="23">
        <f t="shared" si="94"/>
        <v>180767.65930025707</v>
      </c>
      <c r="R250" s="25">
        <f t="shared" si="95"/>
        <v>3761.2704838503814</v>
      </c>
    </row>
    <row r="251" spans="2:18" x14ac:dyDescent="0.25">
      <c r="B251" s="22">
        <f t="shared" si="78"/>
        <v>240</v>
      </c>
      <c r="C251" s="23">
        <f t="shared" si="79"/>
        <v>42729.325363797063</v>
      </c>
      <c r="D251" s="23">
        <f t="shared" si="80"/>
        <v>186.94079846661202</v>
      </c>
      <c r="E251" s="23">
        <f t="shared" si="81"/>
        <v>268.62725580045407</v>
      </c>
      <c r="F251" s="24">
        <f t="shared" si="82"/>
        <v>0</v>
      </c>
      <c r="G251" s="23">
        <f t="shared" si="83"/>
        <v>0</v>
      </c>
      <c r="H251" s="24"/>
      <c r="I251" s="23">
        <f t="shared" si="84"/>
        <v>0</v>
      </c>
      <c r="J251" s="23">
        <f t="shared" si="85"/>
        <v>268.62725580045407</v>
      </c>
      <c r="K251" s="23">
        <f t="shared" si="86"/>
        <v>42460.698107996606</v>
      </c>
      <c r="L251" s="23">
        <f t="shared" si="87"/>
        <v>455.56805426706609</v>
      </c>
      <c r="M251" s="23">
        <f t="shared" si="74"/>
        <v>0</v>
      </c>
      <c r="N251" s="23">
        <f t="shared" si="75"/>
        <v>56.082239539983604</v>
      </c>
      <c r="O251" s="23">
        <f t="shared" si="76"/>
        <v>399.48581472708247</v>
      </c>
      <c r="P251" s="23">
        <f t="shared" si="77"/>
        <v>130.8585589266284</v>
      </c>
      <c r="Q251" s="23">
        <f t="shared" si="94"/>
        <v>180767.65930025707</v>
      </c>
      <c r="R251" s="25">
        <f t="shared" si="95"/>
        <v>3761.2704838503814</v>
      </c>
    </row>
    <row r="252" spans="2:18" x14ac:dyDescent="0.25">
      <c r="B252" s="22">
        <f t="shared" si="78"/>
        <v>241</v>
      </c>
      <c r="C252" s="23">
        <f t="shared" si="79"/>
        <v>42460.698107996606</v>
      </c>
      <c r="D252" s="23">
        <f t="shared" si="80"/>
        <v>185.76555422248504</v>
      </c>
      <c r="E252" s="23">
        <f t="shared" si="81"/>
        <v>269.80250004458111</v>
      </c>
      <c r="F252" s="24">
        <f t="shared" si="82"/>
        <v>0</v>
      </c>
      <c r="G252" s="23">
        <f t="shared" si="83"/>
        <v>0</v>
      </c>
      <c r="H252" s="24"/>
      <c r="I252" s="23">
        <f t="shared" si="84"/>
        <v>0</v>
      </c>
      <c r="J252" s="23">
        <f t="shared" si="85"/>
        <v>269.80250004458111</v>
      </c>
      <c r="K252" s="23">
        <f t="shared" si="86"/>
        <v>42190.895607952029</v>
      </c>
      <c r="L252" s="23">
        <f t="shared" si="87"/>
        <v>455.56805426706615</v>
      </c>
      <c r="M252" s="23">
        <f t="shared" si="74"/>
        <v>0</v>
      </c>
      <c r="N252" s="23">
        <f t="shared" si="75"/>
        <v>55.729666266745511</v>
      </c>
      <c r="O252" s="23">
        <f t="shared" si="76"/>
        <v>399.83838800032061</v>
      </c>
      <c r="P252" s="23">
        <f t="shared" si="77"/>
        <v>130.0358879557395</v>
      </c>
      <c r="Q252" s="23">
        <f>$Q$251+ $Q$251*$L$8</f>
        <v>187998.36567226736</v>
      </c>
      <c r="R252" s="25">
        <f>$R$251 + ($R$251 * $S$5)</f>
        <v>3874.1085983658927</v>
      </c>
    </row>
    <row r="253" spans="2:18" x14ac:dyDescent="0.25">
      <c r="B253" s="22">
        <f t="shared" si="78"/>
        <v>242</v>
      </c>
      <c r="C253" s="23">
        <f t="shared" si="79"/>
        <v>42190.895607952029</v>
      </c>
      <c r="D253" s="23">
        <f t="shared" si="80"/>
        <v>184.58516828479</v>
      </c>
      <c r="E253" s="23">
        <f t="shared" si="81"/>
        <v>270.98288598227612</v>
      </c>
      <c r="F253" s="24">
        <f t="shared" si="82"/>
        <v>0</v>
      </c>
      <c r="G253" s="23">
        <f t="shared" si="83"/>
        <v>0</v>
      </c>
      <c r="H253" s="24"/>
      <c r="I253" s="23">
        <f t="shared" si="84"/>
        <v>0</v>
      </c>
      <c r="J253" s="23">
        <f t="shared" si="85"/>
        <v>270.98288598227612</v>
      </c>
      <c r="K253" s="23">
        <f t="shared" si="86"/>
        <v>41919.912721969755</v>
      </c>
      <c r="L253" s="23">
        <f t="shared" si="87"/>
        <v>455.56805426706615</v>
      </c>
      <c r="M253" s="23">
        <f t="shared" si="74"/>
        <v>0</v>
      </c>
      <c r="N253" s="23">
        <f t="shared" si="75"/>
        <v>55.375550485436996</v>
      </c>
      <c r="O253" s="23">
        <f t="shared" si="76"/>
        <v>400.19250378162917</v>
      </c>
      <c r="P253" s="23">
        <f t="shared" si="77"/>
        <v>129.20961779935305</v>
      </c>
      <c r="Q253" s="23">
        <f t="shared" ref="Q253:Q263" si="96">$Q$251+ $Q$251*$L$8</f>
        <v>187998.36567226736</v>
      </c>
      <c r="R253" s="25">
        <f t="shared" ref="R253:R263" si="97">$R$251 + ($R$251 * $S$5)</f>
        <v>3874.1085983658927</v>
      </c>
    </row>
    <row r="254" spans="2:18" x14ac:dyDescent="0.25">
      <c r="B254" s="22">
        <f t="shared" si="78"/>
        <v>243</v>
      </c>
      <c r="C254" s="23">
        <f t="shared" si="79"/>
        <v>41919.912721969755</v>
      </c>
      <c r="D254" s="23">
        <f t="shared" si="80"/>
        <v>183.39961815861753</v>
      </c>
      <c r="E254" s="23">
        <f t="shared" si="81"/>
        <v>272.16843610844859</v>
      </c>
      <c r="F254" s="24">
        <f t="shared" si="82"/>
        <v>0</v>
      </c>
      <c r="G254" s="23">
        <f t="shared" si="83"/>
        <v>0</v>
      </c>
      <c r="H254" s="24"/>
      <c r="I254" s="23">
        <f t="shared" si="84"/>
        <v>0</v>
      </c>
      <c r="J254" s="23">
        <f t="shared" si="85"/>
        <v>272.16843610844859</v>
      </c>
      <c r="K254" s="23">
        <f t="shared" si="86"/>
        <v>41647.744285861307</v>
      </c>
      <c r="L254" s="23">
        <f t="shared" si="87"/>
        <v>455.56805426706615</v>
      </c>
      <c r="M254" s="23">
        <f t="shared" si="74"/>
        <v>0</v>
      </c>
      <c r="N254" s="23">
        <f t="shared" si="75"/>
        <v>55.01988544758526</v>
      </c>
      <c r="O254" s="23">
        <f t="shared" si="76"/>
        <v>400.54816881948091</v>
      </c>
      <c r="P254" s="23">
        <f t="shared" si="77"/>
        <v>128.37973271103232</v>
      </c>
      <c r="Q254" s="23">
        <f t="shared" si="96"/>
        <v>187998.36567226736</v>
      </c>
      <c r="R254" s="25">
        <f t="shared" si="97"/>
        <v>3874.1085983658927</v>
      </c>
    </row>
    <row r="255" spans="2:18" x14ac:dyDescent="0.25">
      <c r="B255" s="22">
        <f t="shared" si="78"/>
        <v>244</v>
      </c>
      <c r="C255" s="23">
        <f t="shared" si="79"/>
        <v>41647.744285861307</v>
      </c>
      <c r="D255" s="23">
        <f t="shared" si="80"/>
        <v>182.20888125064306</v>
      </c>
      <c r="E255" s="23">
        <f t="shared" si="81"/>
        <v>273.35917301642303</v>
      </c>
      <c r="F255" s="24">
        <f t="shared" si="82"/>
        <v>0</v>
      </c>
      <c r="G255" s="23">
        <f t="shared" si="83"/>
        <v>0</v>
      </c>
      <c r="H255" s="24"/>
      <c r="I255" s="23">
        <f t="shared" si="84"/>
        <v>0</v>
      </c>
      <c r="J255" s="23">
        <f t="shared" si="85"/>
        <v>273.35917301642303</v>
      </c>
      <c r="K255" s="23">
        <f t="shared" si="86"/>
        <v>41374.38511284488</v>
      </c>
      <c r="L255" s="23">
        <f t="shared" si="87"/>
        <v>455.56805426706609</v>
      </c>
      <c r="M255" s="23">
        <f t="shared" si="74"/>
        <v>0</v>
      </c>
      <c r="N255" s="23">
        <f t="shared" si="75"/>
        <v>54.662664375192918</v>
      </c>
      <c r="O255" s="23">
        <f t="shared" si="76"/>
        <v>400.90538989187314</v>
      </c>
      <c r="P255" s="23">
        <f t="shared" si="77"/>
        <v>127.54621687545011</v>
      </c>
      <c r="Q255" s="23">
        <f t="shared" si="96"/>
        <v>187998.36567226736</v>
      </c>
      <c r="R255" s="25">
        <f t="shared" si="97"/>
        <v>3874.1085983658927</v>
      </c>
    </row>
    <row r="256" spans="2:18" x14ac:dyDescent="0.25">
      <c r="B256" s="22">
        <f t="shared" si="78"/>
        <v>245</v>
      </c>
      <c r="C256" s="23">
        <f t="shared" si="79"/>
        <v>41374.38511284488</v>
      </c>
      <c r="D256" s="23">
        <f t="shared" si="80"/>
        <v>181.01293486869628</v>
      </c>
      <c r="E256" s="23">
        <f t="shared" si="81"/>
        <v>274.55511939836987</v>
      </c>
      <c r="F256" s="24">
        <f t="shared" si="82"/>
        <v>0</v>
      </c>
      <c r="G256" s="23">
        <f t="shared" si="83"/>
        <v>0</v>
      </c>
      <c r="H256" s="24"/>
      <c r="I256" s="23">
        <f t="shared" si="84"/>
        <v>0</v>
      </c>
      <c r="J256" s="23">
        <f t="shared" si="85"/>
        <v>274.55511939836987</v>
      </c>
      <c r="K256" s="23">
        <f t="shared" si="86"/>
        <v>41099.82999344651</v>
      </c>
      <c r="L256" s="23">
        <f t="shared" si="87"/>
        <v>455.56805426706615</v>
      </c>
      <c r="M256" s="23">
        <f t="shared" si="74"/>
        <v>0</v>
      </c>
      <c r="N256" s="23">
        <f t="shared" si="75"/>
        <v>54.30388046060888</v>
      </c>
      <c r="O256" s="23">
        <f t="shared" si="76"/>
        <v>401.26417380645728</v>
      </c>
      <c r="P256" s="23">
        <f t="shared" si="77"/>
        <v>126.70905440808741</v>
      </c>
      <c r="Q256" s="23">
        <f t="shared" si="96"/>
        <v>187998.36567226736</v>
      </c>
      <c r="R256" s="25">
        <f t="shared" si="97"/>
        <v>3874.1085983658927</v>
      </c>
    </row>
    <row r="257" spans="2:18" x14ac:dyDescent="0.25">
      <c r="B257" s="22">
        <f t="shared" si="78"/>
        <v>246</v>
      </c>
      <c r="C257" s="23">
        <f t="shared" si="79"/>
        <v>41099.82999344651</v>
      </c>
      <c r="D257" s="23">
        <f t="shared" si="80"/>
        <v>179.81175622132838</v>
      </c>
      <c r="E257" s="23">
        <f t="shared" si="81"/>
        <v>275.75629804573776</v>
      </c>
      <c r="F257" s="24">
        <f t="shared" si="82"/>
        <v>0</v>
      </c>
      <c r="G257" s="23">
        <f t="shared" si="83"/>
        <v>0</v>
      </c>
      <c r="H257" s="24"/>
      <c r="I257" s="23">
        <f t="shared" si="84"/>
        <v>0</v>
      </c>
      <c r="J257" s="23">
        <f t="shared" si="85"/>
        <v>275.75629804573776</v>
      </c>
      <c r="K257" s="23">
        <f t="shared" si="86"/>
        <v>40824.073695400773</v>
      </c>
      <c r="L257" s="23">
        <f t="shared" si="87"/>
        <v>455.56805426706615</v>
      </c>
      <c r="M257" s="23">
        <f t="shared" si="74"/>
        <v>0</v>
      </c>
      <c r="N257" s="23">
        <f t="shared" si="75"/>
        <v>53.943526866398514</v>
      </c>
      <c r="O257" s="23">
        <f t="shared" si="76"/>
        <v>401.6245274006676</v>
      </c>
      <c r="P257" s="23">
        <f t="shared" si="77"/>
        <v>125.86822935492984</v>
      </c>
      <c r="Q257" s="23">
        <f t="shared" si="96"/>
        <v>187998.36567226736</v>
      </c>
      <c r="R257" s="25">
        <f t="shared" si="97"/>
        <v>3874.1085983658927</v>
      </c>
    </row>
    <row r="258" spans="2:18" x14ac:dyDescent="0.25">
      <c r="B258" s="22">
        <f t="shared" si="78"/>
        <v>247</v>
      </c>
      <c r="C258" s="23">
        <f t="shared" si="79"/>
        <v>40824.073695400773</v>
      </c>
      <c r="D258" s="23">
        <f t="shared" si="80"/>
        <v>178.60532241737826</v>
      </c>
      <c r="E258" s="23">
        <f t="shared" si="81"/>
        <v>276.96273184968783</v>
      </c>
      <c r="F258" s="24">
        <f t="shared" si="82"/>
        <v>0</v>
      </c>
      <c r="G258" s="23">
        <f t="shared" si="83"/>
        <v>0</v>
      </c>
      <c r="H258" s="24"/>
      <c r="I258" s="23">
        <f t="shared" si="84"/>
        <v>0</v>
      </c>
      <c r="J258" s="23">
        <f t="shared" si="85"/>
        <v>276.96273184968783</v>
      </c>
      <c r="K258" s="23">
        <f t="shared" si="86"/>
        <v>40547.110963551087</v>
      </c>
      <c r="L258" s="23">
        <f t="shared" si="87"/>
        <v>455.56805426706609</v>
      </c>
      <c r="M258" s="23">
        <f t="shared" si="74"/>
        <v>0</v>
      </c>
      <c r="N258" s="23">
        <f t="shared" si="75"/>
        <v>53.58159672521348</v>
      </c>
      <c r="O258" s="23">
        <f t="shared" si="76"/>
        <v>401.98645754185259</v>
      </c>
      <c r="P258" s="23">
        <f t="shared" si="77"/>
        <v>125.02372569216476</v>
      </c>
      <c r="Q258" s="23">
        <f t="shared" si="96"/>
        <v>187998.36567226736</v>
      </c>
      <c r="R258" s="25">
        <f t="shared" si="97"/>
        <v>3874.1085983658927</v>
      </c>
    </row>
    <row r="259" spans="2:18" x14ac:dyDescent="0.25">
      <c r="B259" s="22">
        <f t="shared" si="78"/>
        <v>248</v>
      </c>
      <c r="C259" s="23">
        <f t="shared" si="79"/>
        <v>40547.110963551087</v>
      </c>
      <c r="D259" s="23">
        <f t="shared" si="80"/>
        <v>177.39361046553586</v>
      </c>
      <c r="E259" s="23">
        <f t="shared" si="81"/>
        <v>278.17444380153023</v>
      </c>
      <c r="F259" s="24">
        <f t="shared" si="82"/>
        <v>0</v>
      </c>
      <c r="G259" s="23">
        <f t="shared" si="83"/>
        <v>0</v>
      </c>
      <c r="H259" s="24"/>
      <c r="I259" s="23">
        <f t="shared" si="84"/>
        <v>0</v>
      </c>
      <c r="J259" s="23">
        <f t="shared" si="85"/>
        <v>278.17444380153023</v>
      </c>
      <c r="K259" s="23">
        <f t="shared" si="86"/>
        <v>40268.936519749557</v>
      </c>
      <c r="L259" s="23">
        <f t="shared" si="87"/>
        <v>455.56805426706609</v>
      </c>
      <c r="M259" s="23">
        <f t="shared" si="74"/>
        <v>0</v>
      </c>
      <c r="N259" s="23">
        <f t="shared" si="75"/>
        <v>53.218083139660756</v>
      </c>
      <c r="O259" s="23">
        <f t="shared" si="76"/>
        <v>402.34997112740535</v>
      </c>
      <c r="P259" s="23">
        <f t="shared" si="77"/>
        <v>124.17552732587512</v>
      </c>
      <c r="Q259" s="23">
        <f t="shared" si="96"/>
        <v>187998.36567226736</v>
      </c>
      <c r="R259" s="25">
        <f t="shared" si="97"/>
        <v>3874.1085983658927</v>
      </c>
    </row>
    <row r="260" spans="2:18" x14ac:dyDescent="0.25">
      <c r="B260" s="22">
        <f t="shared" si="78"/>
        <v>249</v>
      </c>
      <c r="C260" s="23">
        <f t="shared" si="79"/>
        <v>40268.936519749557</v>
      </c>
      <c r="D260" s="23">
        <f t="shared" si="80"/>
        <v>176.17659727390421</v>
      </c>
      <c r="E260" s="23">
        <f t="shared" si="81"/>
        <v>279.39145699316191</v>
      </c>
      <c r="F260" s="24">
        <f t="shared" si="82"/>
        <v>0</v>
      </c>
      <c r="G260" s="23">
        <f t="shared" si="83"/>
        <v>0</v>
      </c>
      <c r="H260" s="24"/>
      <c r="I260" s="23">
        <f t="shared" si="84"/>
        <v>0</v>
      </c>
      <c r="J260" s="23">
        <f t="shared" si="85"/>
        <v>279.39145699316191</v>
      </c>
      <c r="K260" s="23">
        <f t="shared" si="86"/>
        <v>39989.545062756399</v>
      </c>
      <c r="L260" s="23">
        <f t="shared" si="87"/>
        <v>455.56805426706615</v>
      </c>
      <c r="M260" s="23">
        <f t="shared" si="74"/>
        <v>0</v>
      </c>
      <c r="N260" s="23">
        <f t="shared" si="75"/>
        <v>52.852979182171261</v>
      </c>
      <c r="O260" s="23">
        <f t="shared" si="76"/>
        <v>402.71507508489486</v>
      </c>
      <c r="P260" s="23">
        <f t="shared" si="77"/>
        <v>123.32361809173295</v>
      </c>
      <c r="Q260" s="23">
        <f t="shared" si="96"/>
        <v>187998.36567226736</v>
      </c>
      <c r="R260" s="25">
        <f t="shared" si="97"/>
        <v>3874.1085983658927</v>
      </c>
    </row>
    <row r="261" spans="2:18" x14ac:dyDescent="0.25">
      <c r="B261" s="22">
        <f t="shared" si="78"/>
        <v>250</v>
      </c>
      <c r="C261" s="23">
        <f t="shared" si="79"/>
        <v>39989.545062756399</v>
      </c>
      <c r="D261" s="23">
        <f t="shared" si="80"/>
        <v>174.95425964955908</v>
      </c>
      <c r="E261" s="23">
        <f t="shared" si="81"/>
        <v>280.61379461750704</v>
      </c>
      <c r="F261" s="24">
        <f t="shared" si="82"/>
        <v>0</v>
      </c>
      <c r="G261" s="23">
        <f t="shared" si="83"/>
        <v>0</v>
      </c>
      <c r="H261" s="24"/>
      <c r="I261" s="23">
        <f t="shared" si="84"/>
        <v>0</v>
      </c>
      <c r="J261" s="23">
        <f t="shared" si="85"/>
        <v>280.61379461750704</v>
      </c>
      <c r="K261" s="23">
        <f t="shared" si="86"/>
        <v>39708.931268138891</v>
      </c>
      <c r="L261" s="23">
        <f t="shared" si="87"/>
        <v>455.56805426706615</v>
      </c>
      <c r="M261" s="23">
        <f t="shared" si="74"/>
        <v>0</v>
      </c>
      <c r="N261" s="23">
        <f t="shared" si="75"/>
        <v>52.486277894867719</v>
      </c>
      <c r="O261" s="23">
        <f t="shared" si="76"/>
        <v>403.08177637219842</v>
      </c>
      <c r="P261" s="23">
        <f t="shared" si="77"/>
        <v>122.46798175469138</v>
      </c>
      <c r="Q261" s="23">
        <f t="shared" si="96"/>
        <v>187998.36567226736</v>
      </c>
      <c r="R261" s="25">
        <f t="shared" si="97"/>
        <v>3874.1085983658927</v>
      </c>
    </row>
    <row r="262" spans="2:18" x14ac:dyDescent="0.25">
      <c r="B262" s="22">
        <f t="shared" si="78"/>
        <v>251</v>
      </c>
      <c r="C262" s="23">
        <f t="shared" si="79"/>
        <v>39708.931268138891</v>
      </c>
      <c r="D262" s="23">
        <f t="shared" si="80"/>
        <v>173.72657429810752</v>
      </c>
      <c r="E262" s="23">
        <f t="shared" si="81"/>
        <v>281.84147996895859</v>
      </c>
      <c r="F262" s="24">
        <f t="shared" si="82"/>
        <v>0</v>
      </c>
      <c r="G262" s="23">
        <f t="shared" si="83"/>
        <v>0</v>
      </c>
      <c r="H262" s="24"/>
      <c r="I262" s="23">
        <f t="shared" si="84"/>
        <v>0</v>
      </c>
      <c r="J262" s="23">
        <f t="shared" si="85"/>
        <v>281.84147996895859</v>
      </c>
      <c r="K262" s="23">
        <f t="shared" si="86"/>
        <v>39427.089788169935</v>
      </c>
      <c r="L262" s="23">
        <f t="shared" si="87"/>
        <v>455.56805426706615</v>
      </c>
      <c r="M262" s="23">
        <f t="shared" si="74"/>
        <v>0</v>
      </c>
      <c r="N262" s="23">
        <f t="shared" si="75"/>
        <v>52.117972289432252</v>
      </c>
      <c r="O262" s="23">
        <f t="shared" si="76"/>
        <v>403.45008197763389</v>
      </c>
      <c r="P262" s="23">
        <f t="shared" si="77"/>
        <v>121.60860200867529</v>
      </c>
      <c r="Q262" s="23">
        <f t="shared" si="96"/>
        <v>187998.36567226736</v>
      </c>
      <c r="R262" s="25">
        <f t="shared" si="97"/>
        <v>3874.1085983658927</v>
      </c>
    </row>
    <row r="263" spans="2:18" x14ac:dyDescent="0.25">
      <c r="B263" s="22">
        <f t="shared" si="78"/>
        <v>252</v>
      </c>
      <c r="C263" s="23">
        <f t="shared" si="79"/>
        <v>39427.089788169935</v>
      </c>
      <c r="D263" s="23">
        <f t="shared" si="80"/>
        <v>172.49351782324328</v>
      </c>
      <c r="E263" s="23">
        <f t="shared" si="81"/>
        <v>283.07453644382286</v>
      </c>
      <c r="F263" s="24">
        <f t="shared" si="82"/>
        <v>0</v>
      </c>
      <c r="G263" s="23">
        <f t="shared" si="83"/>
        <v>0</v>
      </c>
      <c r="H263" s="24"/>
      <c r="I263" s="23">
        <f t="shared" si="84"/>
        <v>0</v>
      </c>
      <c r="J263" s="23">
        <f t="shared" si="85"/>
        <v>283.07453644382286</v>
      </c>
      <c r="K263" s="23">
        <f t="shared" si="86"/>
        <v>39144.015251726109</v>
      </c>
      <c r="L263" s="23">
        <f t="shared" si="87"/>
        <v>455.56805426706615</v>
      </c>
      <c r="M263" s="23">
        <f t="shared" si="74"/>
        <v>0</v>
      </c>
      <c r="N263" s="23">
        <f t="shared" si="75"/>
        <v>51.748055346972983</v>
      </c>
      <c r="O263" s="23">
        <f t="shared" si="76"/>
        <v>403.81999892009316</v>
      </c>
      <c r="P263" s="23">
        <f t="shared" si="77"/>
        <v>120.74546247627029</v>
      </c>
      <c r="Q263" s="23">
        <f t="shared" si="96"/>
        <v>187998.36567226736</v>
      </c>
      <c r="R263" s="25">
        <f t="shared" si="97"/>
        <v>3874.1085983658927</v>
      </c>
    </row>
    <row r="264" spans="2:18" x14ac:dyDescent="0.25">
      <c r="B264" s="22">
        <f t="shared" si="78"/>
        <v>253</v>
      </c>
      <c r="C264" s="23">
        <f t="shared" si="79"/>
        <v>39144.015251726109</v>
      </c>
      <c r="D264" s="23">
        <f t="shared" si="80"/>
        <v>171.25506672630158</v>
      </c>
      <c r="E264" s="23">
        <f t="shared" si="81"/>
        <v>284.31298754076454</v>
      </c>
      <c r="F264" s="24">
        <f t="shared" si="82"/>
        <v>0</v>
      </c>
      <c r="G264" s="23">
        <f t="shared" si="83"/>
        <v>0</v>
      </c>
      <c r="H264" s="24"/>
      <c r="I264" s="23">
        <f t="shared" si="84"/>
        <v>0</v>
      </c>
      <c r="J264" s="23">
        <f t="shared" si="85"/>
        <v>284.31298754076454</v>
      </c>
      <c r="K264" s="23">
        <f t="shared" si="86"/>
        <v>38859.702264185347</v>
      </c>
      <c r="L264" s="23">
        <f t="shared" si="87"/>
        <v>455.56805426706615</v>
      </c>
      <c r="M264" s="23">
        <f t="shared" si="74"/>
        <v>0</v>
      </c>
      <c r="N264" s="23">
        <f t="shared" si="75"/>
        <v>51.376520017890471</v>
      </c>
      <c r="O264" s="23">
        <f t="shared" si="76"/>
        <v>404.19153424917567</v>
      </c>
      <c r="P264" s="23">
        <f t="shared" si="77"/>
        <v>119.87854670841114</v>
      </c>
      <c r="Q264" s="23">
        <f>$Q$263+ $Q$263*$L$8</f>
        <v>195518.30029915806</v>
      </c>
      <c r="R264" s="25">
        <f>$R$263 + ($R$263 * $S$5)</f>
        <v>3990.3318563168696</v>
      </c>
    </row>
    <row r="265" spans="2:18" x14ac:dyDescent="0.25">
      <c r="B265" s="22">
        <f t="shared" si="78"/>
        <v>254</v>
      </c>
      <c r="C265" s="23">
        <f t="shared" si="79"/>
        <v>38859.702264185347</v>
      </c>
      <c r="D265" s="23">
        <f t="shared" si="80"/>
        <v>170.01119740581075</v>
      </c>
      <c r="E265" s="23">
        <f t="shared" si="81"/>
        <v>285.55685686125537</v>
      </c>
      <c r="F265" s="24">
        <f t="shared" si="82"/>
        <v>0</v>
      </c>
      <c r="G265" s="23">
        <f t="shared" si="83"/>
        <v>0</v>
      </c>
      <c r="H265" s="24"/>
      <c r="I265" s="23">
        <f t="shared" si="84"/>
        <v>0</v>
      </c>
      <c r="J265" s="23">
        <f t="shared" si="85"/>
        <v>285.55685686125537</v>
      </c>
      <c r="K265" s="23">
        <f t="shared" si="86"/>
        <v>38574.145407324089</v>
      </c>
      <c r="L265" s="23">
        <f t="shared" si="87"/>
        <v>455.56805426706615</v>
      </c>
      <c r="M265" s="23">
        <f t="shared" si="74"/>
        <v>0</v>
      </c>
      <c r="N265" s="23">
        <f t="shared" si="75"/>
        <v>51.003359221743224</v>
      </c>
      <c r="O265" s="23">
        <f t="shared" si="76"/>
        <v>404.56469504532294</v>
      </c>
      <c r="P265" s="23">
        <f t="shared" si="77"/>
        <v>119.00783818406757</v>
      </c>
      <c r="Q265" s="23">
        <f t="shared" ref="Q265:Q275" si="98">$Q$263+ $Q$263*$L$8</f>
        <v>195518.30029915806</v>
      </c>
      <c r="R265" s="25">
        <f t="shared" ref="R265:R275" si="99">$R$263 + ($R$263 * $S$5)</f>
        <v>3990.3318563168696</v>
      </c>
    </row>
    <row r="266" spans="2:18" x14ac:dyDescent="0.25">
      <c r="B266" s="22">
        <f t="shared" si="78"/>
        <v>255</v>
      </c>
      <c r="C266" s="23">
        <f t="shared" si="79"/>
        <v>38574.145407324089</v>
      </c>
      <c r="D266" s="23">
        <f t="shared" si="80"/>
        <v>168.76188615704274</v>
      </c>
      <c r="E266" s="23">
        <f t="shared" si="81"/>
        <v>286.80616811002341</v>
      </c>
      <c r="F266" s="24">
        <f t="shared" si="82"/>
        <v>0</v>
      </c>
      <c r="G266" s="23">
        <f t="shared" si="83"/>
        <v>0</v>
      </c>
      <c r="H266" s="24"/>
      <c r="I266" s="23">
        <f t="shared" si="84"/>
        <v>0</v>
      </c>
      <c r="J266" s="23">
        <f t="shared" si="85"/>
        <v>286.80616811002341</v>
      </c>
      <c r="K266" s="23">
        <f t="shared" si="86"/>
        <v>38287.339239214067</v>
      </c>
      <c r="L266" s="23">
        <f t="shared" si="87"/>
        <v>455.56805426706615</v>
      </c>
      <c r="M266" s="23">
        <f t="shared" si="74"/>
        <v>0</v>
      </c>
      <c r="N266" s="23">
        <f t="shared" si="75"/>
        <v>50.628565847112817</v>
      </c>
      <c r="O266" s="23">
        <f t="shared" si="76"/>
        <v>404.93948841995331</v>
      </c>
      <c r="P266" s="23">
        <f t="shared" si="77"/>
        <v>118.1333203099299</v>
      </c>
      <c r="Q266" s="23">
        <f t="shared" si="98"/>
        <v>195518.30029915806</v>
      </c>
      <c r="R266" s="25">
        <f t="shared" si="99"/>
        <v>3990.3318563168696</v>
      </c>
    </row>
    <row r="267" spans="2:18" x14ac:dyDescent="0.25">
      <c r="B267" s="22">
        <f t="shared" si="78"/>
        <v>256</v>
      </c>
      <c r="C267" s="23">
        <f t="shared" si="79"/>
        <v>38287.339239214067</v>
      </c>
      <c r="D267" s="23">
        <f t="shared" si="80"/>
        <v>167.50710917156141</v>
      </c>
      <c r="E267" s="23">
        <f t="shared" si="81"/>
        <v>288.06094509550474</v>
      </c>
      <c r="F267" s="24">
        <f t="shared" si="82"/>
        <v>0</v>
      </c>
      <c r="G267" s="23">
        <f t="shared" si="83"/>
        <v>0</v>
      </c>
      <c r="H267" s="24"/>
      <c r="I267" s="23">
        <f t="shared" si="84"/>
        <v>0</v>
      </c>
      <c r="J267" s="23">
        <f t="shared" si="85"/>
        <v>288.06094509550474</v>
      </c>
      <c r="K267" s="23">
        <f t="shared" si="86"/>
        <v>37999.278294118565</v>
      </c>
      <c r="L267" s="23">
        <f t="shared" si="87"/>
        <v>455.56805426706615</v>
      </c>
      <c r="M267" s="23">
        <f t="shared" si="74"/>
        <v>0</v>
      </c>
      <c r="N267" s="23">
        <f t="shared" si="75"/>
        <v>50.252132751468423</v>
      </c>
      <c r="O267" s="23">
        <f t="shared" si="76"/>
        <v>405.31592151559772</v>
      </c>
      <c r="P267" s="23">
        <f t="shared" si="77"/>
        <v>117.25497642009299</v>
      </c>
      <c r="Q267" s="23">
        <f t="shared" si="98"/>
        <v>195518.30029915806</v>
      </c>
      <c r="R267" s="25">
        <f t="shared" si="99"/>
        <v>3990.3318563168696</v>
      </c>
    </row>
    <row r="268" spans="2:18" x14ac:dyDescent="0.25">
      <c r="B268" s="22">
        <f t="shared" si="78"/>
        <v>257</v>
      </c>
      <c r="C268" s="23">
        <f t="shared" si="79"/>
        <v>37999.278294118565</v>
      </c>
      <c r="D268" s="23">
        <f t="shared" si="80"/>
        <v>166.24684253676858</v>
      </c>
      <c r="E268" s="23">
        <f t="shared" si="81"/>
        <v>289.32121173029759</v>
      </c>
      <c r="F268" s="24">
        <f t="shared" si="82"/>
        <v>0</v>
      </c>
      <c r="G268" s="23">
        <f t="shared" si="83"/>
        <v>0</v>
      </c>
      <c r="H268" s="24"/>
      <c r="I268" s="23">
        <f t="shared" si="84"/>
        <v>0</v>
      </c>
      <c r="J268" s="23">
        <f t="shared" si="85"/>
        <v>289.32121173029759</v>
      </c>
      <c r="K268" s="23">
        <f t="shared" si="86"/>
        <v>37709.957082388268</v>
      </c>
      <c r="L268" s="23">
        <f t="shared" si="87"/>
        <v>455.56805426706615</v>
      </c>
      <c r="M268" s="23">
        <f t="shared" ref="M268:M331" si="100">+$L$4</f>
        <v>0</v>
      </c>
      <c r="N268" s="23">
        <f t="shared" ref="N268:N331" si="101">(D268+F268)*0.3</f>
        <v>49.874052761030576</v>
      </c>
      <c r="O268" s="23">
        <f t="shared" ref="O268:O331" si="102">L268+M268-N268</f>
        <v>405.69400150603559</v>
      </c>
      <c r="P268" s="23">
        <f t="shared" ref="P268:P331" si="103">O268-E268+M268</f>
        <v>116.372789775738</v>
      </c>
      <c r="Q268" s="23">
        <f t="shared" si="98"/>
        <v>195518.30029915806</v>
      </c>
      <c r="R268" s="25">
        <f t="shared" si="99"/>
        <v>3990.3318563168696</v>
      </c>
    </row>
    <row r="269" spans="2:18" x14ac:dyDescent="0.25">
      <c r="B269" s="22">
        <f t="shared" ref="B269:B332" si="104">+IF(K268&gt;1,IF(B268="","",B268+1),"")</f>
        <v>258</v>
      </c>
      <c r="C269" s="23">
        <f t="shared" ref="C269:C332" si="105">+IF(B269="","",K268)</f>
        <v>37709.957082388268</v>
      </c>
      <c r="D269" s="23">
        <f t="shared" ref="D269:D332" si="106">+IF(B269="",0,-IPMT($C$5/12,B269,$C$6,$C$7))</f>
        <v>164.98106223544849</v>
      </c>
      <c r="E269" s="23">
        <f t="shared" ref="E269:E332" si="107">+IF(B269="",0,-PPMT($C$5/12,B269,$C$6,$C$7))</f>
        <v>290.58699203161763</v>
      </c>
      <c r="F269" s="24">
        <f t="shared" ref="F269:F332" si="108">+IF(B269="",0,$G$4)</f>
        <v>0</v>
      </c>
      <c r="G269" s="23">
        <f t="shared" ref="G269:G332" si="109">+IF(B269="",0,IF(C269&lt;$C$4*0.8,0,$G$5))</f>
        <v>0</v>
      </c>
      <c r="H269" s="24"/>
      <c r="I269" s="23">
        <f t="shared" ref="I269:I332" si="110">0.35/100*$C$4/12*0</f>
        <v>0</v>
      </c>
      <c r="J269" s="23">
        <f t="shared" ref="J269:J332" si="111">+IF(B269="",0,E269+H269)</f>
        <v>290.58699203161763</v>
      </c>
      <c r="K269" s="23">
        <f t="shared" ref="K269:K332" si="112">+IF(B269="","",C269-J269)</f>
        <v>37419.37009035665</v>
      </c>
      <c r="L269" s="23">
        <f t="shared" ref="L269:L332" si="113">I269+H269+G269+F269+E269+D269</f>
        <v>455.56805426706615</v>
      </c>
      <c r="M269" s="23">
        <f t="shared" si="100"/>
        <v>0</v>
      </c>
      <c r="N269" s="23">
        <f t="shared" si="101"/>
        <v>49.494318670634549</v>
      </c>
      <c r="O269" s="23">
        <f t="shared" si="102"/>
        <v>406.07373559643162</v>
      </c>
      <c r="P269" s="23">
        <f t="shared" si="103"/>
        <v>115.48674356481399</v>
      </c>
      <c r="Q269" s="23">
        <f t="shared" si="98"/>
        <v>195518.30029915806</v>
      </c>
      <c r="R269" s="25">
        <f t="shared" si="99"/>
        <v>3990.3318563168696</v>
      </c>
    </row>
    <row r="270" spans="2:18" x14ac:dyDescent="0.25">
      <c r="B270" s="22">
        <f t="shared" si="104"/>
        <v>259</v>
      </c>
      <c r="C270" s="23">
        <f t="shared" si="105"/>
        <v>37419.37009035665</v>
      </c>
      <c r="D270" s="23">
        <f t="shared" si="106"/>
        <v>163.70974414531017</v>
      </c>
      <c r="E270" s="23">
        <f t="shared" si="107"/>
        <v>291.85831012175595</v>
      </c>
      <c r="F270" s="24">
        <f t="shared" si="108"/>
        <v>0</v>
      </c>
      <c r="G270" s="23">
        <f t="shared" si="109"/>
        <v>0</v>
      </c>
      <c r="H270" s="24"/>
      <c r="I270" s="23">
        <f t="shared" si="110"/>
        <v>0</v>
      </c>
      <c r="J270" s="23">
        <f t="shared" si="111"/>
        <v>291.85831012175595</v>
      </c>
      <c r="K270" s="23">
        <f t="shared" si="112"/>
        <v>37127.51178023489</v>
      </c>
      <c r="L270" s="23">
        <f t="shared" si="113"/>
        <v>455.56805426706615</v>
      </c>
      <c r="M270" s="23">
        <f t="shared" si="100"/>
        <v>0</v>
      </c>
      <c r="N270" s="23">
        <f t="shared" si="101"/>
        <v>49.112923243593052</v>
      </c>
      <c r="O270" s="23">
        <f t="shared" si="102"/>
        <v>406.45513102347309</v>
      </c>
      <c r="P270" s="23">
        <f t="shared" si="103"/>
        <v>114.59682090171714</v>
      </c>
      <c r="Q270" s="23">
        <f t="shared" si="98"/>
        <v>195518.30029915806</v>
      </c>
      <c r="R270" s="25">
        <f t="shared" si="99"/>
        <v>3990.3318563168696</v>
      </c>
    </row>
    <row r="271" spans="2:18" x14ac:dyDescent="0.25">
      <c r="B271" s="22">
        <f t="shared" si="104"/>
        <v>260</v>
      </c>
      <c r="C271" s="23">
        <f t="shared" si="105"/>
        <v>37127.51178023489</v>
      </c>
      <c r="D271" s="23">
        <f t="shared" si="106"/>
        <v>162.4328640385275</v>
      </c>
      <c r="E271" s="23">
        <f t="shared" si="107"/>
        <v>293.13519022853865</v>
      </c>
      <c r="F271" s="24">
        <f t="shared" si="108"/>
        <v>0</v>
      </c>
      <c r="G271" s="23">
        <f t="shared" si="109"/>
        <v>0</v>
      </c>
      <c r="H271" s="24"/>
      <c r="I271" s="23">
        <f t="shared" si="110"/>
        <v>0</v>
      </c>
      <c r="J271" s="23">
        <f t="shared" si="111"/>
        <v>293.13519022853865</v>
      </c>
      <c r="K271" s="23">
        <f t="shared" si="112"/>
        <v>36834.376590006352</v>
      </c>
      <c r="L271" s="23">
        <f t="shared" si="113"/>
        <v>455.56805426706615</v>
      </c>
      <c r="M271" s="23">
        <f t="shared" si="100"/>
        <v>0</v>
      </c>
      <c r="N271" s="23">
        <f t="shared" si="101"/>
        <v>48.729859211558249</v>
      </c>
      <c r="O271" s="23">
        <f t="shared" si="102"/>
        <v>406.83819505550787</v>
      </c>
      <c r="P271" s="23">
        <f t="shared" si="103"/>
        <v>113.70300482696922</v>
      </c>
      <c r="Q271" s="23">
        <f t="shared" si="98"/>
        <v>195518.30029915806</v>
      </c>
      <c r="R271" s="25">
        <f t="shared" si="99"/>
        <v>3990.3318563168696</v>
      </c>
    </row>
    <row r="272" spans="2:18" x14ac:dyDescent="0.25">
      <c r="B272" s="22">
        <f t="shared" si="104"/>
        <v>261</v>
      </c>
      <c r="C272" s="23">
        <f t="shared" si="105"/>
        <v>36834.376590006352</v>
      </c>
      <c r="D272" s="23">
        <f t="shared" si="106"/>
        <v>161.15039758127764</v>
      </c>
      <c r="E272" s="23">
        <f t="shared" si="107"/>
        <v>294.41765668578847</v>
      </c>
      <c r="F272" s="24">
        <f t="shared" si="108"/>
        <v>0</v>
      </c>
      <c r="G272" s="23">
        <f t="shared" si="109"/>
        <v>0</v>
      </c>
      <c r="H272" s="24"/>
      <c r="I272" s="23">
        <f t="shared" si="110"/>
        <v>0</v>
      </c>
      <c r="J272" s="23">
        <f t="shared" si="111"/>
        <v>294.41765668578847</v>
      </c>
      <c r="K272" s="23">
        <f t="shared" si="112"/>
        <v>36539.958933320566</v>
      </c>
      <c r="L272" s="23">
        <f t="shared" si="113"/>
        <v>455.56805426706615</v>
      </c>
      <c r="M272" s="23">
        <f t="shared" si="100"/>
        <v>0</v>
      </c>
      <c r="N272" s="23">
        <f t="shared" si="101"/>
        <v>48.345119274383293</v>
      </c>
      <c r="O272" s="23">
        <f t="shared" si="102"/>
        <v>407.22293499268284</v>
      </c>
      <c r="P272" s="23">
        <f t="shared" si="103"/>
        <v>112.80527830689437</v>
      </c>
      <c r="Q272" s="23">
        <f t="shared" si="98"/>
        <v>195518.30029915806</v>
      </c>
      <c r="R272" s="25">
        <f t="shared" si="99"/>
        <v>3990.3318563168696</v>
      </c>
    </row>
    <row r="273" spans="2:18" x14ac:dyDescent="0.25">
      <c r="B273" s="22">
        <f t="shared" si="104"/>
        <v>262</v>
      </c>
      <c r="C273" s="23">
        <f t="shared" si="105"/>
        <v>36539.958933320566</v>
      </c>
      <c r="D273" s="23">
        <f t="shared" si="106"/>
        <v>159.86232033327732</v>
      </c>
      <c r="E273" s="23">
        <f t="shared" si="107"/>
        <v>295.70573393378885</v>
      </c>
      <c r="F273" s="24">
        <f t="shared" si="108"/>
        <v>0</v>
      </c>
      <c r="G273" s="23">
        <f t="shared" si="109"/>
        <v>0</v>
      </c>
      <c r="H273" s="24"/>
      <c r="I273" s="23">
        <f t="shared" si="110"/>
        <v>0</v>
      </c>
      <c r="J273" s="23">
        <f t="shared" si="111"/>
        <v>295.70573393378885</v>
      </c>
      <c r="K273" s="23">
        <f t="shared" si="112"/>
        <v>36244.253199386774</v>
      </c>
      <c r="L273" s="23">
        <f t="shared" si="113"/>
        <v>455.56805426706615</v>
      </c>
      <c r="M273" s="23">
        <f t="shared" si="100"/>
        <v>0</v>
      </c>
      <c r="N273" s="23">
        <f t="shared" si="101"/>
        <v>47.958696099983193</v>
      </c>
      <c r="O273" s="23">
        <f t="shared" si="102"/>
        <v>407.60935816708297</v>
      </c>
      <c r="P273" s="23">
        <f t="shared" si="103"/>
        <v>111.90362423329412</v>
      </c>
      <c r="Q273" s="23">
        <f t="shared" si="98"/>
        <v>195518.30029915806</v>
      </c>
      <c r="R273" s="25">
        <f t="shared" si="99"/>
        <v>3990.3318563168696</v>
      </c>
    </row>
    <row r="274" spans="2:18" x14ac:dyDescent="0.25">
      <c r="B274" s="22">
        <f t="shared" si="104"/>
        <v>263</v>
      </c>
      <c r="C274" s="23">
        <f t="shared" si="105"/>
        <v>36244.253199386774</v>
      </c>
      <c r="D274" s="23">
        <f t="shared" si="106"/>
        <v>158.568607747317</v>
      </c>
      <c r="E274" s="23">
        <f t="shared" si="107"/>
        <v>296.99944651974914</v>
      </c>
      <c r="F274" s="24">
        <f t="shared" si="108"/>
        <v>0</v>
      </c>
      <c r="G274" s="23">
        <f t="shared" si="109"/>
        <v>0</v>
      </c>
      <c r="H274" s="24"/>
      <c r="I274" s="23">
        <f t="shared" si="110"/>
        <v>0</v>
      </c>
      <c r="J274" s="23">
        <f t="shared" si="111"/>
        <v>296.99944651974914</v>
      </c>
      <c r="K274" s="23">
        <f t="shared" si="112"/>
        <v>35947.253752867022</v>
      </c>
      <c r="L274" s="23">
        <f t="shared" si="113"/>
        <v>455.56805426706615</v>
      </c>
      <c r="M274" s="23">
        <f t="shared" si="100"/>
        <v>0</v>
      </c>
      <c r="N274" s="23">
        <f t="shared" si="101"/>
        <v>47.570582324195101</v>
      </c>
      <c r="O274" s="23">
        <f t="shared" si="102"/>
        <v>407.99747194287102</v>
      </c>
      <c r="P274" s="23">
        <f t="shared" si="103"/>
        <v>110.99802542312187</v>
      </c>
      <c r="Q274" s="23">
        <f t="shared" si="98"/>
        <v>195518.30029915806</v>
      </c>
      <c r="R274" s="25">
        <f t="shared" si="99"/>
        <v>3990.3318563168696</v>
      </c>
    </row>
    <row r="275" spans="2:18" x14ac:dyDescent="0.25">
      <c r="B275" s="22">
        <f t="shared" si="104"/>
        <v>264</v>
      </c>
      <c r="C275" s="23">
        <f t="shared" si="105"/>
        <v>35947.253752867022</v>
      </c>
      <c r="D275" s="23">
        <f t="shared" si="106"/>
        <v>157.26923516879307</v>
      </c>
      <c r="E275" s="23">
        <f t="shared" si="107"/>
        <v>298.29881909827304</v>
      </c>
      <c r="F275" s="24">
        <f t="shared" si="108"/>
        <v>0</v>
      </c>
      <c r="G275" s="23">
        <f t="shared" si="109"/>
        <v>0</v>
      </c>
      <c r="H275" s="24"/>
      <c r="I275" s="23">
        <f t="shared" si="110"/>
        <v>0</v>
      </c>
      <c r="J275" s="23">
        <f t="shared" si="111"/>
        <v>298.29881909827304</v>
      </c>
      <c r="K275" s="23">
        <f t="shared" si="112"/>
        <v>35648.954933768749</v>
      </c>
      <c r="L275" s="23">
        <f t="shared" si="113"/>
        <v>455.56805426706615</v>
      </c>
      <c r="M275" s="23">
        <f t="shared" si="100"/>
        <v>0</v>
      </c>
      <c r="N275" s="23">
        <f t="shared" si="101"/>
        <v>47.180770550637924</v>
      </c>
      <c r="O275" s="23">
        <f t="shared" si="102"/>
        <v>408.38728371642821</v>
      </c>
      <c r="P275" s="23">
        <f t="shared" si="103"/>
        <v>110.08846461815517</v>
      </c>
      <c r="Q275" s="23">
        <f t="shared" si="98"/>
        <v>195518.30029915806</v>
      </c>
      <c r="R275" s="25">
        <f t="shared" si="99"/>
        <v>3990.3318563168696</v>
      </c>
    </row>
    <row r="276" spans="2:18" x14ac:dyDescent="0.25">
      <c r="B276" s="22">
        <f t="shared" si="104"/>
        <v>265</v>
      </c>
      <c r="C276" s="23">
        <f t="shared" si="105"/>
        <v>35648.954933768749</v>
      </c>
      <c r="D276" s="23">
        <f t="shared" si="106"/>
        <v>155.96417783523813</v>
      </c>
      <c r="E276" s="23">
        <f t="shared" si="107"/>
        <v>299.60387643182798</v>
      </c>
      <c r="F276" s="24">
        <f t="shared" si="108"/>
        <v>0</v>
      </c>
      <c r="G276" s="23">
        <f t="shared" si="109"/>
        <v>0</v>
      </c>
      <c r="H276" s="24"/>
      <c r="I276" s="23">
        <f t="shared" si="110"/>
        <v>0</v>
      </c>
      <c r="J276" s="23">
        <f t="shared" si="111"/>
        <v>299.60387643182798</v>
      </c>
      <c r="K276" s="23">
        <f t="shared" si="112"/>
        <v>35349.35105733692</v>
      </c>
      <c r="L276" s="23">
        <f t="shared" si="113"/>
        <v>455.56805426706615</v>
      </c>
      <c r="M276" s="23">
        <f t="shared" si="100"/>
        <v>0</v>
      </c>
      <c r="N276" s="23">
        <f t="shared" si="101"/>
        <v>46.789253350571435</v>
      </c>
      <c r="O276" s="23">
        <f t="shared" si="102"/>
        <v>408.77880091649473</v>
      </c>
      <c r="P276" s="23">
        <f t="shared" si="103"/>
        <v>109.17492448466675</v>
      </c>
      <c r="Q276" s="23">
        <f>$Q$275+ $Q$275*$L$8</f>
        <v>203339.03231112438</v>
      </c>
      <c r="R276" s="25">
        <f>$R$275 + ($R$275 * $S$5)</f>
        <v>4110.0418120063759</v>
      </c>
    </row>
    <row r="277" spans="2:18" x14ac:dyDescent="0.25">
      <c r="B277" s="22">
        <f t="shared" si="104"/>
        <v>266</v>
      </c>
      <c r="C277" s="23">
        <f t="shared" si="105"/>
        <v>35349.35105733692</v>
      </c>
      <c r="D277" s="23">
        <f t="shared" si="106"/>
        <v>154.65341087584889</v>
      </c>
      <c r="E277" s="23">
        <f t="shared" si="107"/>
        <v>300.91464339121723</v>
      </c>
      <c r="F277" s="24">
        <f t="shared" si="108"/>
        <v>0</v>
      </c>
      <c r="G277" s="23">
        <f t="shared" si="109"/>
        <v>0</v>
      </c>
      <c r="H277" s="24"/>
      <c r="I277" s="23">
        <f t="shared" si="110"/>
        <v>0</v>
      </c>
      <c r="J277" s="23">
        <f t="shared" si="111"/>
        <v>300.91464339121723</v>
      </c>
      <c r="K277" s="23">
        <f t="shared" si="112"/>
        <v>35048.436413945703</v>
      </c>
      <c r="L277" s="23">
        <f t="shared" si="113"/>
        <v>455.56805426706615</v>
      </c>
      <c r="M277" s="23">
        <f t="shared" si="100"/>
        <v>0</v>
      </c>
      <c r="N277" s="23">
        <f t="shared" si="101"/>
        <v>46.396023262754667</v>
      </c>
      <c r="O277" s="23">
        <f t="shared" si="102"/>
        <v>409.17203100431146</v>
      </c>
      <c r="P277" s="23">
        <f t="shared" si="103"/>
        <v>108.25738761309424</v>
      </c>
      <c r="Q277" s="23">
        <f t="shared" ref="Q277:Q287" si="114">$Q$275+ $Q$275*$L$8</f>
        <v>203339.03231112438</v>
      </c>
      <c r="R277" s="25">
        <f t="shared" ref="R277:R287" si="115">$R$275 + ($R$275 * $S$5)</f>
        <v>4110.0418120063759</v>
      </c>
    </row>
    <row r="278" spans="2:18" x14ac:dyDescent="0.25">
      <c r="B278" s="22">
        <f t="shared" si="104"/>
        <v>267</v>
      </c>
      <c r="C278" s="23">
        <f t="shared" si="105"/>
        <v>35048.436413945703</v>
      </c>
      <c r="D278" s="23">
        <f t="shared" si="106"/>
        <v>153.33690931101233</v>
      </c>
      <c r="E278" s="23">
        <f t="shared" si="107"/>
        <v>302.23114495605381</v>
      </c>
      <c r="F278" s="24">
        <f t="shared" si="108"/>
        <v>0</v>
      </c>
      <c r="G278" s="23">
        <f t="shared" si="109"/>
        <v>0</v>
      </c>
      <c r="H278" s="24"/>
      <c r="I278" s="23">
        <f t="shared" si="110"/>
        <v>0</v>
      </c>
      <c r="J278" s="23">
        <f t="shared" si="111"/>
        <v>302.23114495605381</v>
      </c>
      <c r="K278" s="23">
        <f t="shared" si="112"/>
        <v>34746.205268989652</v>
      </c>
      <c r="L278" s="23">
        <f t="shared" si="113"/>
        <v>455.56805426706615</v>
      </c>
      <c r="M278" s="23">
        <f t="shared" si="100"/>
        <v>0</v>
      </c>
      <c r="N278" s="23">
        <f t="shared" si="101"/>
        <v>46.001072793303699</v>
      </c>
      <c r="O278" s="23">
        <f t="shared" si="102"/>
        <v>409.56698147376244</v>
      </c>
      <c r="P278" s="23">
        <f t="shared" si="103"/>
        <v>107.33583651770863</v>
      </c>
      <c r="Q278" s="23">
        <f t="shared" si="114"/>
        <v>203339.03231112438</v>
      </c>
      <c r="R278" s="25">
        <f t="shared" si="115"/>
        <v>4110.0418120063759</v>
      </c>
    </row>
    <row r="279" spans="2:18" x14ac:dyDescent="0.25">
      <c r="B279" s="22">
        <f t="shared" si="104"/>
        <v>268</v>
      </c>
      <c r="C279" s="23">
        <f t="shared" si="105"/>
        <v>34746.205268989652</v>
      </c>
      <c r="D279" s="23">
        <f t="shared" si="106"/>
        <v>152.01464805182962</v>
      </c>
      <c r="E279" s="23">
        <f t="shared" si="107"/>
        <v>303.55340621523652</v>
      </c>
      <c r="F279" s="24">
        <f t="shared" si="108"/>
        <v>0</v>
      </c>
      <c r="G279" s="23">
        <f t="shared" si="109"/>
        <v>0</v>
      </c>
      <c r="H279" s="24"/>
      <c r="I279" s="23">
        <f t="shared" si="110"/>
        <v>0</v>
      </c>
      <c r="J279" s="23">
        <f t="shared" si="111"/>
        <v>303.55340621523652</v>
      </c>
      <c r="K279" s="23">
        <f t="shared" si="112"/>
        <v>34442.651862774415</v>
      </c>
      <c r="L279" s="23">
        <f t="shared" si="113"/>
        <v>455.56805426706615</v>
      </c>
      <c r="M279" s="23">
        <f t="shared" si="100"/>
        <v>0</v>
      </c>
      <c r="N279" s="23">
        <f t="shared" si="101"/>
        <v>45.604394415548889</v>
      </c>
      <c r="O279" s="23">
        <f t="shared" si="102"/>
        <v>409.96365985151726</v>
      </c>
      <c r="P279" s="23">
        <f t="shared" si="103"/>
        <v>106.41025363628074</v>
      </c>
      <c r="Q279" s="23">
        <f t="shared" si="114"/>
        <v>203339.03231112438</v>
      </c>
      <c r="R279" s="25">
        <f t="shared" si="115"/>
        <v>4110.0418120063759</v>
      </c>
    </row>
    <row r="280" spans="2:18" x14ac:dyDescent="0.25">
      <c r="B280" s="22">
        <f t="shared" si="104"/>
        <v>269</v>
      </c>
      <c r="C280" s="23">
        <f t="shared" si="105"/>
        <v>34442.651862774415</v>
      </c>
      <c r="D280" s="23">
        <f t="shared" si="106"/>
        <v>150.68660189963794</v>
      </c>
      <c r="E280" s="23">
        <f t="shared" si="107"/>
        <v>304.88145236742821</v>
      </c>
      <c r="F280" s="24">
        <f t="shared" si="108"/>
        <v>0</v>
      </c>
      <c r="G280" s="23">
        <f t="shared" si="109"/>
        <v>0</v>
      </c>
      <c r="H280" s="24"/>
      <c r="I280" s="23">
        <f t="shared" si="110"/>
        <v>0</v>
      </c>
      <c r="J280" s="23">
        <f t="shared" si="111"/>
        <v>304.88145236742821</v>
      </c>
      <c r="K280" s="23">
        <f t="shared" si="112"/>
        <v>34137.770410406985</v>
      </c>
      <c r="L280" s="23">
        <f t="shared" si="113"/>
        <v>455.56805426706615</v>
      </c>
      <c r="M280" s="23">
        <f t="shared" si="100"/>
        <v>0</v>
      </c>
      <c r="N280" s="23">
        <f t="shared" si="101"/>
        <v>45.205980569891381</v>
      </c>
      <c r="O280" s="23">
        <f t="shared" si="102"/>
        <v>410.36207369717476</v>
      </c>
      <c r="P280" s="23">
        <f t="shared" si="103"/>
        <v>105.48062132974655</v>
      </c>
      <c r="Q280" s="23">
        <f t="shared" si="114"/>
        <v>203339.03231112438</v>
      </c>
      <c r="R280" s="25">
        <f t="shared" si="115"/>
        <v>4110.0418120063759</v>
      </c>
    </row>
    <row r="281" spans="2:18" x14ac:dyDescent="0.25">
      <c r="B281" s="22">
        <f t="shared" si="104"/>
        <v>270</v>
      </c>
      <c r="C281" s="23">
        <f t="shared" si="105"/>
        <v>34137.770410406985</v>
      </c>
      <c r="D281" s="23">
        <f t="shared" si="106"/>
        <v>149.35274554553041</v>
      </c>
      <c r="E281" s="23">
        <f t="shared" si="107"/>
        <v>306.21530872153573</v>
      </c>
      <c r="F281" s="24">
        <f t="shared" si="108"/>
        <v>0</v>
      </c>
      <c r="G281" s="23">
        <f t="shared" si="109"/>
        <v>0</v>
      </c>
      <c r="H281" s="24"/>
      <c r="I281" s="23">
        <f t="shared" si="110"/>
        <v>0</v>
      </c>
      <c r="J281" s="23">
        <f t="shared" si="111"/>
        <v>306.21530872153573</v>
      </c>
      <c r="K281" s="23">
        <f t="shared" si="112"/>
        <v>33831.555101685452</v>
      </c>
      <c r="L281" s="23">
        <f t="shared" si="113"/>
        <v>455.56805426706615</v>
      </c>
      <c r="M281" s="23">
        <f t="shared" si="100"/>
        <v>0</v>
      </c>
      <c r="N281" s="23">
        <f t="shared" si="101"/>
        <v>44.805823663659119</v>
      </c>
      <c r="O281" s="23">
        <f t="shared" si="102"/>
        <v>410.76223060340703</v>
      </c>
      <c r="P281" s="23">
        <f t="shared" si="103"/>
        <v>104.5469218818713</v>
      </c>
      <c r="Q281" s="23">
        <f t="shared" si="114"/>
        <v>203339.03231112438</v>
      </c>
      <c r="R281" s="25">
        <f t="shared" si="115"/>
        <v>4110.0418120063759</v>
      </c>
    </row>
    <row r="282" spans="2:18" x14ac:dyDescent="0.25">
      <c r="B282" s="22">
        <f t="shared" si="104"/>
        <v>271</v>
      </c>
      <c r="C282" s="23">
        <f t="shared" si="105"/>
        <v>33831.555101685452</v>
      </c>
      <c r="D282" s="23">
        <f t="shared" si="106"/>
        <v>148.01305356987373</v>
      </c>
      <c r="E282" s="23">
        <f t="shared" si="107"/>
        <v>307.55500069719238</v>
      </c>
      <c r="F282" s="24">
        <f t="shared" si="108"/>
        <v>0</v>
      </c>
      <c r="G282" s="23">
        <f t="shared" si="109"/>
        <v>0</v>
      </c>
      <c r="H282" s="24"/>
      <c r="I282" s="23">
        <f t="shared" si="110"/>
        <v>0</v>
      </c>
      <c r="J282" s="23">
        <f t="shared" si="111"/>
        <v>307.55500069719238</v>
      </c>
      <c r="K282" s="23">
        <f t="shared" si="112"/>
        <v>33524.000100988262</v>
      </c>
      <c r="L282" s="23">
        <f t="shared" si="113"/>
        <v>455.56805426706615</v>
      </c>
      <c r="M282" s="23">
        <f t="shared" si="100"/>
        <v>0</v>
      </c>
      <c r="N282" s="23">
        <f t="shared" si="101"/>
        <v>44.403916070962119</v>
      </c>
      <c r="O282" s="23">
        <f t="shared" si="102"/>
        <v>411.16413819610403</v>
      </c>
      <c r="P282" s="23">
        <f t="shared" si="103"/>
        <v>103.60913749891165</v>
      </c>
      <c r="Q282" s="23">
        <f t="shared" si="114"/>
        <v>203339.03231112438</v>
      </c>
      <c r="R282" s="25">
        <f t="shared" si="115"/>
        <v>4110.0418120063759</v>
      </c>
    </row>
    <row r="283" spans="2:18" x14ac:dyDescent="0.25">
      <c r="B283" s="22">
        <f t="shared" si="104"/>
        <v>272</v>
      </c>
      <c r="C283" s="23">
        <f t="shared" si="105"/>
        <v>33524.000100988262</v>
      </c>
      <c r="D283" s="23">
        <f t="shared" si="106"/>
        <v>146.66750044182351</v>
      </c>
      <c r="E283" s="23">
        <f t="shared" si="107"/>
        <v>308.90055382524264</v>
      </c>
      <c r="F283" s="24">
        <f t="shared" si="108"/>
        <v>0</v>
      </c>
      <c r="G283" s="23">
        <f t="shared" si="109"/>
        <v>0</v>
      </c>
      <c r="H283" s="24"/>
      <c r="I283" s="23">
        <f t="shared" si="110"/>
        <v>0</v>
      </c>
      <c r="J283" s="23">
        <f t="shared" si="111"/>
        <v>308.90055382524264</v>
      </c>
      <c r="K283" s="23">
        <f t="shared" si="112"/>
        <v>33215.099547163016</v>
      </c>
      <c r="L283" s="23">
        <f t="shared" si="113"/>
        <v>455.56805426706615</v>
      </c>
      <c r="M283" s="23">
        <f t="shared" si="100"/>
        <v>0</v>
      </c>
      <c r="N283" s="23">
        <f t="shared" si="101"/>
        <v>44.000250132547052</v>
      </c>
      <c r="O283" s="23">
        <f t="shared" si="102"/>
        <v>411.56780413451906</v>
      </c>
      <c r="P283" s="23">
        <f t="shared" si="103"/>
        <v>102.66725030927643</v>
      </c>
      <c r="Q283" s="23">
        <f t="shared" si="114"/>
        <v>203339.03231112438</v>
      </c>
      <c r="R283" s="25">
        <f t="shared" si="115"/>
        <v>4110.0418120063759</v>
      </c>
    </row>
    <row r="284" spans="2:18" x14ac:dyDescent="0.25">
      <c r="B284" s="22">
        <f t="shared" si="104"/>
        <v>273</v>
      </c>
      <c r="C284" s="23">
        <f t="shared" si="105"/>
        <v>33215.099547163016</v>
      </c>
      <c r="D284" s="23">
        <f t="shared" si="106"/>
        <v>145.31606051883804</v>
      </c>
      <c r="E284" s="23">
        <f t="shared" si="107"/>
        <v>310.25199374822807</v>
      </c>
      <c r="F284" s="24">
        <f t="shared" si="108"/>
        <v>0</v>
      </c>
      <c r="G284" s="23">
        <f t="shared" si="109"/>
        <v>0</v>
      </c>
      <c r="H284" s="24"/>
      <c r="I284" s="23">
        <f t="shared" si="110"/>
        <v>0</v>
      </c>
      <c r="J284" s="23">
        <f t="shared" si="111"/>
        <v>310.25199374822807</v>
      </c>
      <c r="K284" s="23">
        <f t="shared" si="112"/>
        <v>32904.847553414787</v>
      </c>
      <c r="L284" s="23">
        <f t="shared" si="113"/>
        <v>455.56805426706615</v>
      </c>
      <c r="M284" s="23">
        <f t="shared" si="100"/>
        <v>0</v>
      </c>
      <c r="N284" s="23">
        <f t="shared" si="101"/>
        <v>43.59481815565141</v>
      </c>
      <c r="O284" s="23">
        <f t="shared" si="102"/>
        <v>411.97323611141474</v>
      </c>
      <c r="P284" s="23">
        <f t="shared" si="103"/>
        <v>101.72124236318666</v>
      </c>
      <c r="Q284" s="23">
        <f t="shared" si="114"/>
        <v>203339.03231112438</v>
      </c>
      <c r="R284" s="25">
        <f t="shared" si="115"/>
        <v>4110.0418120063759</v>
      </c>
    </row>
    <row r="285" spans="2:18" x14ac:dyDescent="0.25">
      <c r="B285" s="22">
        <f t="shared" si="104"/>
        <v>274</v>
      </c>
      <c r="C285" s="23">
        <f t="shared" si="105"/>
        <v>32904.847553414787</v>
      </c>
      <c r="D285" s="23">
        <f t="shared" si="106"/>
        <v>143.95870804618954</v>
      </c>
      <c r="E285" s="23">
        <f t="shared" si="107"/>
        <v>311.60934622087655</v>
      </c>
      <c r="F285" s="24">
        <f t="shared" si="108"/>
        <v>0</v>
      </c>
      <c r="G285" s="23">
        <f t="shared" si="109"/>
        <v>0</v>
      </c>
      <c r="H285" s="24"/>
      <c r="I285" s="23">
        <f t="shared" si="110"/>
        <v>0</v>
      </c>
      <c r="J285" s="23">
        <f t="shared" si="111"/>
        <v>311.60934622087655</v>
      </c>
      <c r="K285" s="23">
        <f t="shared" si="112"/>
        <v>32593.23820719391</v>
      </c>
      <c r="L285" s="23">
        <f t="shared" si="113"/>
        <v>455.56805426706609</v>
      </c>
      <c r="M285" s="23">
        <f t="shared" si="100"/>
        <v>0</v>
      </c>
      <c r="N285" s="23">
        <f t="shared" si="101"/>
        <v>43.187612413856861</v>
      </c>
      <c r="O285" s="23">
        <f t="shared" si="102"/>
        <v>412.38044185320922</v>
      </c>
      <c r="P285" s="23">
        <f t="shared" si="103"/>
        <v>100.77109563233267</v>
      </c>
      <c r="Q285" s="23">
        <f t="shared" si="114"/>
        <v>203339.03231112438</v>
      </c>
      <c r="R285" s="25">
        <f t="shared" si="115"/>
        <v>4110.0418120063759</v>
      </c>
    </row>
    <row r="286" spans="2:18" x14ac:dyDescent="0.25">
      <c r="B286" s="22">
        <f t="shared" si="104"/>
        <v>275</v>
      </c>
      <c r="C286" s="23">
        <f t="shared" si="105"/>
        <v>32593.23820719391</v>
      </c>
      <c r="D286" s="23">
        <f t="shared" si="106"/>
        <v>142.59541715647322</v>
      </c>
      <c r="E286" s="23">
        <f t="shared" si="107"/>
        <v>312.97263711059287</v>
      </c>
      <c r="F286" s="24">
        <f t="shared" si="108"/>
        <v>0</v>
      </c>
      <c r="G286" s="23">
        <f t="shared" si="109"/>
        <v>0</v>
      </c>
      <c r="H286" s="24"/>
      <c r="I286" s="23">
        <f t="shared" si="110"/>
        <v>0</v>
      </c>
      <c r="J286" s="23">
        <f t="shared" si="111"/>
        <v>312.97263711059287</v>
      </c>
      <c r="K286" s="23">
        <f t="shared" si="112"/>
        <v>32280.265570083317</v>
      </c>
      <c r="L286" s="23">
        <f t="shared" si="113"/>
        <v>455.56805426706609</v>
      </c>
      <c r="M286" s="23">
        <f t="shared" si="100"/>
        <v>0</v>
      </c>
      <c r="N286" s="23">
        <f t="shared" si="101"/>
        <v>42.778625146941962</v>
      </c>
      <c r="O286" s="23">
        <f t="shared" si="102"/>
        <v>412.78942912012411</v>
      </c>
      <c r="P286" s="23">
        <f t="shared" si="103"/>
        <v>99.816792009531241</v>
      </c>
      <c r="Q286" s="23">
        <f t="shared" si="114"/>
        <v>203339.03231112438</v>
      </c>
      <c r="R286" s="25">
        <f t="shared" si="115"/>
        <v>4110.0418120063759</v>
      </c>
    </row>
    <row r="287" spans="2:18" x14ac:dyDescent="0.25">
      <c r="B287" s="22">
        <f t="shared" si="104"/>
        <v>276</v>
      </c>
      <c r="C287" s="23">
        <f t="shared" si="105"/>
        <v>32280.265570083317</v>
      </c>
      <c r="D287" s="23">
        <f t="shared" si="106"/>
        <v>141.22616186911438</v>
      </c>
      <c r="E287" s="23">
        <f t="shared" si="107"/>
        <v>314.34189239795171</v>
      </c>
      <c r="F287" s="24">
        <f t="shared" si="108"/>
        <v>0</v>
      </c>
      <c r="G287" s="23">
        <f t="shared" si="109"/>
        <v>0</v>
      </c>
      <c r="H287" s="24"/>
      <c r="I287" s="23">
        <f t="shared" si="110"/>
        <v>0</v>
      </c>
      <c r="J287" s="23">
        <f t="shared" si="111"/>
        <v>314.34189239795171</v>
      </c>
      <c r="K287" s="23">
        <f t="shared" si="112"/>
        <v>31965.923677685365</v>
      </c>
      <c r="L287" s="23">
        <f t="shared" si="113"/>
        <v>455.56805426706609</v>
      </c>
      <c r="M287" s="23">
        <f t="shared" si="100"/>
        <v>0</v>
      </c>
      <c r="N287" s="23">
        <f t="shared" si="101"/>
        <v>42.367848560734309</v>
      </c>
      <c r="O287" s="23">
        <f t="shared" si="102"/>
        <v>413.20020570633176</v>
      </c>
      <c r="P287" s="23">
        <f t="shared" si="103"/>
        <v>98.858313308380048</v>
      </c>
      <c r="Q287" s="23">
        <f t="shared" si="114"/>
        <v>203339.03231112438</v>
      </c>
      <c r="R287" s="25">
        <f t="shared" si="115"/>
        <v>4110.0418120063759</v>
      </c>
    </row>
    <row r="288" spans="2:18" x14ac:dyDescent="0.25">
      <c r="B288" s="22">
        <f t="shared" si="104"/>
        <v>277</v>
      </c>
      <c r="C288" s="23">
        <f t="shared" si="105"/>
        <v>31965.923677685365</v>
      </c>
      <c r="D288" s="23">
        <f t="shared" si="106"/>
        <v>139.85091608987332</v>
      </c>
      <c r="E288" s="23">
        <f t="shared" si="107"/>
        <v>315.71713817719279</v>
      </c>
      <c r="F288" s="24">
        <f t="shared" si="108"/>
        <v>0</v>
      </c>
      <c r="G288" s="23">
        <f t="shared" si="109"/>
        <v>0</v>
      </c>
      <c r="H288" s="24"/>
      <c r="I288" s="23">
        <f t="shared" si="110"/>
        <v>0</v>
      </c>
      <c r="J288" s="23">
        <f t="shared" si="111"/>
        <v>315.71713817719279</v>
      </c>
      <c r="K288" s="23">
        <f t="shared" si="112"/>
        <v>31650.206539508174</v>
      </c>
      <c r="L288" s="23">
        <f t="shared" si="113"/>
        <v>455.56805426706615</v>
      </c>
      <c r="M288" s="23">
        <f t="shared" si="100"/>
        <v>0</v>
      </c>
      <c r="N288" s="23">
        <f t="shared" si="101"/>
        <v>41.955274826961997</v>
      </c>
      <c r="O288" s="23">
        <f t="shared" si="102"/>
        <v>413.61277944010413</v>
      </c>
      <c r="P288" s="23">
        <f t="shared" si="103"/>
        <v>97.89564126291134</v>
      </c>
      <c r="Q288" s="23">
        <f>$Q$287+ $Q$287*$L$8</f>
        <v>211472.59360356934</v>
      </c>
      <c r="R288" s="25">
        <f>$R$287 + ($R$287 * $S$5)</f>
        <v>4233.3430663665677</v>
      </c>
    </row>
    <row r="289" spans="2:18" x14ac:dyDescent="0.25">
      <c r="B289" s="22">
        <f t="shared" si="104"/>
        <v>278</v>
      </c>
      <c r="C289" s="23">
        <f t="shared" si="105"/>
        <v>31650.206539508174</v>
      </c>
      <c r="D289" s="23">
        <f t="shared" si="106"/>
        <v>138.46965361034813</v>
      </c>
      <c r="E289" s="23">
        <f t="shared" si="107"/>
        <v>317.09840065671801</v>
      </c>
      <c r="F289" s="24">
        <f t="shared" si="108"/>
        <v>0</v>
      </c>
      <c r="G289" s="23">
        <f t="shared" si="109"/>
        <v>0</v>
      </c>
      <c r="H289" s="24"/>
      <c r="I289" s="23">
        <f t="shared" si="110"/>
        <v>0</v>
      </c>
      <c r="J289" s="23">
        <f t="shared" si="111"/>
        <v>317.09840065671801</v>
      </c>
      <c r="K289" s="23">
        <f t="shared" si="112"/>
        <v>31333.108138851454</v>
      </c>
      <c r="L289" s="23">
        <f t="shared" si="113"/>
        <v>455.56805426706615</v>
      </c>
      <c r="M289" s="23">
        <f t="shared" si="100"/>
        <v>0</v>
      </c>
      <c r="N289" s="23">
        <f t="shared" si="101"/>
        <v>41.540896083104435</v>
      </c>
      <c r="O289" s="23">
        <f t="shared" si="102"/>
        <v>414.02715818396172</v>
      </c>
      <c r="P289" s="23">
        <f t="shared" si="103"/>
        <v>96.928757527243704</v>
      </c>
      <c r="Q289" s="23">
        <f t="shared" ref="Q289:Q299" si="116">$Q$287+ $Q$287*$L$8</f>
        <v>211472.59360356934</v>
      </c>
      <c r="R289" s="25">
        <f t="shared" ref="R289:R299" si="117">$R$287 + ($R$287 * $S$5)</f>
        <v>4233.3430663665677</v>
      </c>
    </row>
    <row r="290" spans="2:18" x14ac:dyDescent="0.25">
      <c r="B290" s="22">
        <f t="shared" si="104"/>
        <v>279</v>
      </c>
      <c r="C290" s="23">
        <f t="shared" si="105"/>
        <v>31333.108138851454</v>
      </c>
      <c r="D290" s="23">
        <f t="shared" si="106"/>
        <v>137.08234810747496</v>
      </c>
      <c r="E290" s="23">
        <f t="shared" si="107"/>
        <v>318.48570615959113</v>
      </c>
      <c r="F290" s="24">
        <f t="shared" si="108"/>
        <v>0</v>
      </c>
      <c r="G290" s="23">
        <f t="shared" si="109"/>
        <v>0</v>
      </c>
      <c r="H290" s="24"/>
      <c r="I290" s="23">
        <f t="shared" si="110"/>
        <v>0</v>
      </c>
      <c r="J290" s="23">
        <f t="shared" si="111"/>
        <v>318.48570615959113</v>
      </c>
      <c r="K290" s="23">
        <f t="shared" si="112"/>
        <v>31014.622432691864</v>
      </c>
      <c r="L290" s="23">
        <f t="shared" si="113"/>
        <v>455.56805426706609</v>
      </c>
      <c r="M290" s="23">
        <f t="shared" si="100"/>
        <v>0</v>
      </c>
      <c r="N290" s="23">
        <f t="shared" si="101"/>
        <v>41.124704432242488</v>
      </c>
      <c r="O290" s="23">
        <f t="shared" si="102"/>
        <v>414.44334983482361</v>
      </c>
      <c r="P290" s="23">
        <f t="shared" si="103"/>
        <v>95.957643675232475</v>
      </c>
      <c r="Q290" s="23">
        <f t="shared" si="116"/>
        <v>211472.59360356934</v>
      </c>
      <c r="R290" s="25">
        <f t="shared" si="117"/>
        <v>4233.3430663665677</v>
      </c>
    </row>
    <row r="291" spans="2:18" x14ac:dyDescent="0.25">
      <c r="B291" s="22">
        <f t="shared" si="104"/>
        <v>280</v>
      </c>
      <c r="C291" s="23">
        <f t="shared" si="105"/>
        <v>31014.622432691864</v>
      </c>
      <c r="D291" s="23">
        <f t="shared" si="106"/>
        <v>135.68897314302677</v>
      </c>
      <c r="E291" s="23">
        <f t="shared" si="107"/>
        <v>319.87908112403932</v>
      </c>
      <c r="F291" s="24">
        <f t="shared" si="108"/>
        <v>0</v>
      </c>
      <c r="G291" s="23">
        <f t="shared" si="109"/>
        <v>0</v>
      </c>
      <c r="H291" s="24"/>
      <c r="I291" s="23">
        <f t="shared" si="110"/>
        <v>0</v>
      </c>
      <c r="J291" s="23">
        <f t="shared" si="111"/>
        <v>319.87908112403932</v>
      </c>
      <c r="K291" s="23">
        <f t="shared" si="112"/>
        <v>30694.743351567824</v>
      </c>
      <c r="L291" s="23">
        <f t="shared" si="113"/>
        <v>455.56805426706609</v>
      </c>
      <c r="M291" s="23">
        <f t="shared" si="100"/>
        <v>0</v>
      </c>
      <c r="N291" s="23">
        <f t="shared" si="101"/>
        <v>40.70669194290803</v>
      </c>
      <c r="O291" s="23">
        <f t="shared" si="102"/>
        <v>414.86136232415805</v>
      </c>
      <c r="P291" s="23">
        <f t="shared" si="103"/>
        <v>94.982281200118734</v>
      </c>
      <c r="Q291" s="23">
        <f t="shared" si="116"/>
        <v>211472.59360356934</v>
      </c>
      <c r="R291" s="25">
        <f t="shared" si="117"/>
        <v>4233.3430663665677</v>
      </c>
    </row>
    <row r="292" spans="2:18" x14ac:dyDescent="0.25">
      <c r="B292" s="22">
        <f t="shared" si="104"/>
        <v>281</v>
      </c>
      <c r="C292" s="23">
        <f t="shared" si="105"/>
        <v>30694.743351567824</v>
      </c>
      <c r="D292" s="23">
        <f t="shared" si="106"/>
        <v>134.28950216310906</v>
      </c>
      <c r="E292" s="23">
        <f t="shared" si="107"/>
        <v>321.278552103957</v>
      </c>
      <c r="F292" s="24">
        <f t="shared" si="108"/>
        <v>0</v>
      </c>
      <c r="G292" s="23">
        <f t="shared" si="109"/>
        <v>0</v>
      </c>
      <c r="H292" s="24"/>
      <c r="I292" s="23">
        <f t="shared" si="110"/>
        <v>0</v>
      </c>
      <c r="J292" s="23">
        <f t="shared" si="111"/>
        <v>321.278552103957</v>
      </c>
      <c r="K292" s="23">
        <f t="shared" si="112"/>
        <v>30373.464799463865</v>
      </c>
      <c r="L292" s="23">
        <f t="shared" si="113"/>
        <v>455.56805426706603</v>
      </c>
      <c r="M292" s="23">
        <f t="shared" si="100"/>
        <v>0</v>
      </c>
      <c r="N292" s="23">
        <f t="shared" si="101"/>
        <v>40.28685064893272</v>
      </c>
      <c r="O292" s="23">
        <f t="shared" si="102"/>
        <v>415.2812036181333</v>
      </c>
      <c r="P292" s="23">
        <f t="shared" si="103"/>
        <v>94.002651514176307</v>
      </c>
      <c r="Q292" s="23">
        <f t="shared" si="116"/>
        <v>211472.59360356934</v>
      </c>
      <c r="R292" s="25">
        <f t="shared" si="117"/>
        <v>4233.3430663665677</v>
      </c>
    </row>
    <row r="293" spans="2:18" x14ac:dyDescent="0.25">
      <c r="B293" s="22">
        <f t="shared" si="104"/>
        <v>282</v>
      </c>
      <c r="C293" s="23">
        <f t="shared" si="105"/>
        <v>30373.464799463865</v>
      </c>
      <c r="D293" s="23">
        <f t="shared" si="106"/>
        <v>132.88390849765429</v>
      </c>
      <c r="E293" s="23">
        <f t="shared" si="107"/>
        <v>322.68414576941183</v>
      </c>
      <c r="F293" s="24">
        <f t="shared" si="108"/>
        <v>0</v>
      </c>
      <c r="G293" s="23">
        <f t="shared" si="109"/>
        <v>0</v>
      </c>
      <c r="H293" s="24"/>
      <c r="I293" s="23">
        <f t="shared" si="110"/>
        <v>0</v>
      </c>
      <c r="J293" s="23">
        <f t="shared" si="111"/>
        <v>322.68414576941183</v>
      </c>
      <c r="K293" s="23">
        <f t="shared" si="112"/>
        <v>30050.780653694452</v>
      </c>
      <c r="L293" s="23">
        <f t="shared" si="113"/>
        <v>455.56805426706615</v>
      </c>
      <c r="M293" s="23">
        <f t="shared" si="100"/>
        <v>0</v>
      </c>
      <c r="N293" s="23">
        <f t="shared" si="101"/>
        <v>39.865172549296283</v>
      </c>
      <c r="O293" s="23">
        <f t="shared" si="102"/>
        <v>415.70288171776986</v>
      </c>
      <c r="P293" s="23">
        <f t="shared" si="103"/>
        <v>93.018735948358028</v>
      </c>
      <c r="Q293" s="23">
        <f t="shared" si="116"/>
        <v>211472.59360356934</v>
      </c>
      <c r="R293" s="25">
        <f t="shared" si="117"/>
        <v>4233.3430663665677</v>
      </c>
    </row>
    <row r="294" spans="2:18" x14ac:dyDescent="0.25">
      <c r="B294" s="22">
        <f t="shared" si="104"/>
        <v>283</v>
      </c>
      <c r="C294" s="23">
        <f t="shared" si="105"/>
        <v>30050.780653694452</v>
      </c>
      <c r="D294" s="23">
        <f t="shared" si="106"/>
        <v>131.47216535991311</v>
      </c>
      <c r="E294" s="23">
        <f t="shared" si="107"/>
        <v>324.09588890715304</v>
      </c>
      <c r="F294" s="24">
        <f t="shared" si="108"/>
        <v>0</v>
      </c>
      <c r="G294" s="23">
        <f t="shared" si="109"/>
        <v>0</v>
      </c>
      <c r="H294" s="24"/>
      <c r="I294" s="23">
        <f t="shared" si="110"/>
        <v>0</v>
      </c>
      <c r="J294" s="23">
        <f t="shared" si="111"/>
        <v>324.09588890715304</v>
      </c>
      <c r="K294" s="23">
        <f t="shared" si="112"/>
        <v>29726.6847647873</v>
      </c>
      <c r="L294" s="23">
        <f t="shared" si="113"/>
        <v>455.56805426706615</v>
      </c>
      <c r="M294" s="23">
        <f t="shared" si="100"/>
        <v>0</v>
      </c>
      <c r="N294" s="23">
        <f t="shared" si="101"/>
        <v>39.441649607973929</v>
      </c>
      <c r="O294" s="23">
        <f t="shared" si="102"/>
        <v>416.1264046590922</v>
      </c>
      <c r="P294" s="23">
        <f t="shared" si="103"/>
        <v>92.030515751939163</v>
      </c>
      <c r="Q294" s="23">
        <f t="shared" si="116"/>
        <v>211472.59360356934</v>
      </c>
      <c r="R294" s="25">
        <f t="shared" si="117"/>
        <v>4233.3430663665677</v>
      </c>
    </row>
    <row r="295" spans="2:18" x14ac:dyDescent="0.25">
      <c r="B295" s="22">
        <f t="shared" si="104"/>
        <v>284</v>
      </c>
      <c r="C295" s="23">
        <f t="shared" si="105"/>
        <v>29726.6847647873</v>
      </c>
      <c r="D295" s="23">
        <f t="shared" si="106"/>
        <v>130.05424584594431</v>
      </c>
      <c r="E295" s="23">
        <f t="shared" si="107"/>
        <v>325.51380842112184</v>
      </c>
      <c r="F295" s="24">
        <f t="shared" si="108"/>
        <v>0</v>
      </c>
      <c r="G295" s="23">
        <f t="shared" si="109"/>
        <v>0</v>
      </c>
      <c r="H295" s="24"/>
      <c r="I295" s="23">
        <f t="shared" si="110"/>
        <v>0</v>
      </c>
      <c r="J295" s="23">
        <f t="shared" si="111"/>
        <v>325.51380842112184</v>
      </c>
      <c r="K295" s="23">
        <f t="shared" si="112"/>
        <v>29401.170956366179</v>
      </c>
      <c r="L295" s="23">
        <f t="shared" si="113"/>
        <v>455.56805426706615</v>
      </c>
      <c r="M295" s="23">
        <f t="shared" si="100"/>
        <v>0</v>
      </c>
      <c r="N295" s="23">
        <f t="shared" si="101"/>
        <v>39.016273753783288</v>
      </c>
      <c r="O295" s="23">
        <f t="shared" si="102"/>
        <v>416.55178051328284</v>
      </c>
      <c r="P295" s="23">
        <f t="shared" si="103"/>
        <v>91.037972092160999</v>
      </c>
      <c r="Q295" s="23">
        <f t="shared" si="116"/>
        <v>211472.59360356934</v>
      </c>
      <c r="R295" s="25">
        <f t="shared" si="117"/>
        <v>4233.3430663665677</v>
      </c>
    </row>
    <row r="296" spans="2:18" x14ac:dyDescent="0.25">
      <c r="B296" s="22">
        <f t="shared" si="104"/>
        <v>285</v>
      </c>
      <c r="C296" s="23">
        <f t="shared" si="105"/>
        <v>29401.170956366179</v>
      </c>
      <c r="D296" s="23">
        <f t="shared" si="106"/>
        <v>128.63012293410193</v>
      </c>
      <c r="E296" s="23">
        <f t="shared" si="107"/>
        <v>326.93793133296418</v>
      </c>
      <c r="F296" s="24">
        <f t="shared" si="108"/>
        <v>0</v>
      </c>
      <c r="G296" s="23">
        <f t="shared" si="109"/>
        <v>0</v>
      </c>
      <c r="H296" s="24"/>
      <c r="I296" s="23">
        <f t="shared" si="110"/>
        <v>0</v>
      </c>
      <c r="J296" s="23">
        <f t="shared" si="111"/>
        <v>326.93793133296418</v>
      </c>
      <c r="K296" s="23">
        <f t="shared" si="112"/>
        <v>29074.233025033216</v>
      </c>
      <c r="L296" s="23">
        <f t="shared" si="113"/>
        <v>455.56805426706615</v>
      </c>
      <c r="M296" s="23">
        <f t="shared" si="100"/>
        <v>0</v>
      </c>
      <c r="N296" s="23">
        <f t="shared" si="101"/>
        <v>38.58903688023058</v>
      </c>
      <c r="O296" s="23">
        <f t="shared" si="102"/>
        <v>416.97901738683555</v>
      </c>
      <c r="P296" s="23">
        <f t="shared" si="103"/>
        <v>90.041086053871368</v>
      </c>
      <c r="Q296" s="23">
        <f t="shared" si="116"/>
        <v>211472.59360356934</v>
      </c>
      <c r="R296" s="25">
        <f t="shared" si="117"/>
        <v>4233.3430663665677</v>
      </c>
    </row>
    <row r="297" spans="2:18" x14ac:dyDescent="0.25">
      <c r="B297" s="22">
        <f t="shared" si="104"/>
        <v>286</v>
      </c>
      <c r="C297" s="23">
        <f t="shared" si="105"/>
        <v>29074.233025033216</v>
      </c>
      <c r="D297" s="23">
        <f t="shared" si="106"/>
        <v>127.19976948452016</v>
      </c>
      <c r="E297" s="23">
        <f t="shared" si="107"/>
        <v>328.36828478254597</v>
      </c>
      <c r="F297" s="24">
        <f t="shared" si="108"/>
        <v>0</v>
      </c>
      <c r="G297" s="23">
        <f t="shared" si="109"/>
        <v>0</v>
      </c>
      <c r="H297" s="24"/>
      <c r="I297" s="23">
        <f t="shared" si="110"/>
        <v>0</v>
      </c>
      <c r="J297" s="23">
        <f t="shared" si="111"/>
        <v>328.36828478254597</v>
      </c>
      <c r="K297" s="23">
        <f t="shared" si="112"/>
        <v>28745.864740250669</v>
      </c>
      <c r="L297" s="23">
        <f t="shared" si="113"/>
        <v>455.56805426706615</v>
      </c>
      <c r="M297" s="23">
        <f t="shared" si="100"/>
        <v>0</v>
      </c>
      <c r="N297" s="23">
        <f t="shared" si="101"/>
        <v>38.159930845356044</v>
      </c>
      <c r="O297" s="23">
        <f t="shared" si="102"/>
        <v>417.40812342171012</v>
      </c>
      <c r="P297" s="23">
        <f t="shared" si="103"/>
        <v>89.039838639164145</v>
      </c>
      <c r="Q297" s="23">
        <f t="shared" si="116"/>
        <v>211472.59360356934</v>
      </c>
      <c r="R297" s="25">
        <f t="shared" si="117"/>
        <v>4233.3430663665677</v>
      </c>
    </row>
    <row r="298" spans="2:18" x14ac:dyDescent="0.25">
      <c r="B298" s="22">
        <f t="shared" si="104"/>
        <v>287</v>
      </c>
      <c r="C298" s="23">
        <f t="shared" si="105"/>
        <v>28745.864740250669</v>
      </c>
      <c r="D298" s="23">
        <f t="shared" si="106"/>
        <v>125.76315823859656</v>
      </c>
      <c r="E298" s="23">
        <f t="shared" si="107"/>
        <v>329.80489602846956</v>
      </c>
      <c r="F298" s="24">
        <f t="shared" si="108"/>
        <v>0</v>
      </c>
      <c r="G298" s="23">
        <f t="shared" si="109"/>
        <v>0</v>
      </c>
      <c r="H298" s="24"/>
      <c r="I298" s="23">
        <f t="shared" si="110"/>
        <v>0</v>
      </c>
      <c r="J298" s="23">
        <f t="shared" si="111"/>
        <v>329.80489602846956</v>
      </c>
      <c r="K298" s="23">
        <f t="shared" si="112"/>
        <v>28416.0598442222</v>
      </c>
      <c r="L298" s="23">
        <f t="shared" si="113"/>
        <v>455.56805426706615</v>
      </c>
      <c r="M298" s="23">
        <f t="shared" si="100"/>
        <v>0</v>
      </c>
      <c r="N298" s="23">
        <f t="shared" si="101"/>
        <v>37.728947471578969</v>
      </c>
      <c r="O298" s="23">
        <f t="shared" si="102"/>
        <v>417.83910679548717</v>
      </c>
      <c r="P298" s="23">
        <f t="shared" si="103"/>
        <v>88.034210767017612</v>
      </c>
      <c r="Q298" s="23">
        <f t="shared" si="116"/>
        <v>211472.59360356934</v>
      </c>
      <c r="R298" s="25">
        <f t="shared" si="117"/>
        <v>4233.3430663665677</v>
      </c>
    </row>
    <row r="299" spans="2:18" x14ac:dyDescent="0.25">
      <c r="B299" s="22">
        <f t="shared" si="104"/>
        <v>288</v>
      </c>
      <c r="C299" s="23">
        <f t="shared" si="105"/>
        <v>28416.0598442222</v>
      </c>
      <c r="D299" s="23">
        <f t="shared" si="106"/>
        <v>124.32026181847202</v>
      </c>
      <c r="E299" s="23">
        <f t="shared" si="107"/>
        <v>331.24779244859417</v>
      </c>
      <c r="F299" s="24">
        <f t="shared" si="108"/>
        <v>0</v>
      </c>
      <c r="G299" s="23">
        <f t="shared" si="109"/>
        <v>0</v>
      </c>
      <c r="H299" s="24"/>
      <c r="I299" s="23">
        <f t="shared" si="110"/>
        <v>0</v>
      </c>
      <c r="J299" s="23">
        <f t="shared" si="111"/>
        <v>331.24779244859417</v>
      </c>
      <c r="K299" s="23">
        <f t="shared" si="112"/>
        <v>28084.812051773606</v>
      </c>
      <c r="L299" s="23">
        <f t="shared" si="113"/>
        <v>455.5680542670662</v>
      </c>
      <c r="M299" s="23">
        <f t="shared" si="100"/>
        <v>0</v>
      </c>
      <c r="N299" s="23">
        <f t="shared" si="101"/>
        <v>37.296078545541604</v>
      </c>
      <c r="O299" s="23">
        <f t="shared" si="102"/>
        <v>418.2719757215246</v>
      </c>
      <c r="P299" s="23">
        <f t="shared" si="103"/>
        <v>87.024183272930429</v>
      </c>
      <c r="Q299" s="23">
        <f t="shared" si="116"/>
        <v>211472.59360356934</v>
      </c>
      <c r="R299" s="25">
        <f t="shared" si="117"/>
        <v>4233.3430663665677</v>
      </c>
    </row>
    <row r="300" spans="2:18" x14ac:dyDescent="0.25">
      <c r="B300" s="22">
        <f t="shared" si="104"/>
        <v>289</v>
      </c>
      <c r="C300" s="23">
        <f t="shared" si="105"/>
        <v>28084.812051773606</v>
      </c>
      <c r="D300" s="23">
        <f t="shared" si="106"/>
        <v>122.8710527265094</v>
      </c>
      <c r="E300" s="23">
        <f t="shared" si="107"/>
        <v>332.6970015405567</v>
      </c>
      <c r="F300" s="24">
        <f t="shared" si="108"/>
        <v>0</v>
      </c>
      <c r="G300" s="23">
        <f t="shared" si="109"/>
        <v>0</v>
      </c>
      <c r="H300" s="24"/>
      <c r="I300" s="23">
        <f t="shared" si="110"/>
        <v>0</v>
      </c>
      <c r="J300" s="23">
        <f t="shared" si="111"/>
        <v>332.6970015405567</v>
      </c>
      <c r="K300" s="23">
        <f t="shared" si="112"/>
        <v>27752.115050233049</v>
      </c>
      <c r="L300" s="23">
        <f t="shared" si="113"/>
        <v>455.56805426706609</v>
      </c>
      <c r="M300" s="23">
        <f t="shared" si="100"/>
        <v>0</v>
      </c>
      <c r="N300" s="23">
        <f t="shared" si="101"/>
        <v>36.861315817952821</v>
      </c>
      <c r="O300" s="23">
        <f t="shared" si="102"/>
        <v>418.70673844911329</v>
      </c>
      <c r="P300" s="23">
        <f t="shared" si="103"/>
        <v>86.00973690855659</v>
      </c>
      <c r="Q300" s="23">
        <f>$Q$299+ $Q$299*$L$8</f>
        <v>219931.49734771211</v>
      </c>
      <c r="R300" s="25">
        <f>$R$299 + ($R$299 * $S$5)</f>
        <v>4360.3433583575643</v>
      </c>
    </row>
    <row r="301" spans="2:18" x14ac:dyDescent="0.25">
      <c r="B301" s="22">
        <f t="shared" si="104"/>
        <v>290</v>
      </c>
      <c r="C301" s="23">
        <f t="shared" si="105"/>
        <v>27752.115050233049</v>
      </c>
      <c r="D301" s="23">
        <f t="shared" si="106"/>
        <v>121.41550334476948</v>
      </c>
      <c r="E301" s="23">
        <f t="shared" si="107"/>
        <v>334.15255092229665</v>
      </c>
      <c r="F301" s="24">
        <f t="shared" si="108"/>
        <v>0</v>
      </c>
      <c r="G301" s="23">
        <f t="shared" si="109"/>
        <v>0</v>
      </c>
      <c r="H301" s="24"/>
      <c r="I301" s="23">
        <f t="shared" si="110"/>
        <v>0</v>
      </c>
      <c r="J301" s="23">
        <f t="shared" si="111"/>
        <v>334.15255092229665</v>
      </c>
      <c r="K301" s="23">
        <f t="shared" si="112"/>
        <v>27417.962499310754</v>
      </c>
      <c r="L301" s="23">
        <f t="shared" si="113"/>
        <v>455.56805426706615</v>
      </c>
      <c r="M301" s="23">
        <f t="shared" si="100"/>
        <v>0</v>
      </c>
      <c r="N301" s="23">
        <f t="shared" si="101"/>
        <v>36.424651003430839</v>
      </c>
      <c r="O301" s="23">
        <f t="shared" si="102"/>
        <v>419.14340326363532</v>
      </c>
      <c r="P301" s="23">
        <f t="shared" si="103"/>
        <v>84.990852341338666</v>
      </c>
      <c r="Q301" s="23">
        <f t="shared" ref="Q301:Q311" si="118">$Q$299+ $Q$299*$L$8</f>
        <v>219931.49734771211</v>
      </c>
      <c r="R301" s="25">
        <f t="shared" ref="R301:R311" si="119">$R$299 + ($R$299 * $S$5)</f>
        <v>4360.3433583575643</v>
      </c>
    </row>
    <row r="302" spans="2:18" x14ac:dyDescent="0.25">
      <c r="B302" s="22">
        <f t="shared" si="104"/>
        <v>291</v>
      </c>
      <c r="C302" s="23">
        <f t="shared" si="105"/>
        <v>27417.962499310754</v>
      </c>
      <c r="D302" s="23">
        <f t="shared" si="106"/>
        <v>119.95358593448441</v>
      </c>
      <c r="E302" s="23">
        <f t="shared" si="107"/>
        <v>335.61446833258168</v>
      </c>
      <c r="F302" s="24">
        <f t="shared" si="108"/>
        <v>0</v>
      </c>
      <c r="G302" s="23">
        <f t="shared" si="109"/>
        <v>0</v>
      </c>
      <c r="H302" s="24"/>
      <c r="I302" s="23">
        <f t="shared" si="110"/>
        <v>0</v>
      </c>
      <c r="J302" s="23">
        <f t="shared" si="111"/>
        <v>335.61446833258168</v>
      </c>
      <c r="K302" s="23">
        <f t="shared" si="112"/>
        <v>27082.348030978173</v>
      </c>
      <c r="L302" s="23">
        <f t="shared" si="113"/>
        <v>455.56805426706609</v>
      </c>
      <c r="M302" s="23">
        <f t="shared" si="100"/>
        <v>0</v>
      </c>
      <c r="N302" s="23">
        <f t="shared" si="101"/>
        <v>35.986075780345324</v>
      </c>
      <c r="O302" s="23">
        <f t="shared" si="102"/>
        <v>419.58197848672074</v>
      </c>
      <c r="P302" s="23">
        <f t="shared" si="103"/>
        <v>83.967510154139063</v>
      </c>
      <c r="Q302" s="23">
        <f t="shared" si="118"/>
        <v>219931.49734771211</v>
      </c>
      <c r="R302" s="25">
        <f t="shared" si="119"/>
        <v>4360.3433583575643</v>
      </c>
    </row>
    <row r="303" spans="2:18" x14ac:dyDescent="0.25">
      <c r="B303" s="22">
        <f t="shared" si="104"/>
        <v>292</v>
      </c>
      <c r="C303" s="23">
        <f t="shared" si="105"/>
        <v>27082.348030978173</v>
      </c>
      <c r="D303" s="23">
        <f t="shared" si="106"/>
        <v>118.48527263552936</v>
      </c>
      <c r="E303" s="23">
        <f t="shared" si="107"/>
        <v>337.08278163153676</v>
      </c>
      <c r="F303" s="24">
        <f t="shared" si="108"/>
        <v>0</v>
      </c>
      <c r="G303" s="23">
        <f t="shared" si="109"/>
        <v>0</v>
      </c>
      <c r="H303" s="24"/>
      <c r="I303" s="23">
        <f t="shared" si="110"/>
        <v>0</v>
      </c>
      <c r="J303" s="23">
        <f t="shared" si="111"/>
        <v>337.08278163153676</v>
      </c>
      <c r="K303" s="23">
        <f t="shared" si="112"/>
        <v>26745.265249346638</v>
      </c>
      <c r="L303" s="23">
        <f t="shared" si="113"/>
        <v>455.56805426706615</v>
      </c>
      <c r="M303" s="23">
        <f t="shared" si="100"/>
        <v>0</v>
      </c>
      <c r="N303" s="23">
        <f t="shared" si="101"/>
        <v>35.545581790658808</v>
      </c>
      <c r="O303" s="23">
        <f t="shared" si="102"/>
        <v>420.02247247640736</v>
      </c>
      <c r="P303" s="23">
        <f t="shared" si="103"/>
        <v>82.939690844870597</v>
      </c>
      <c r="Q303" s="23">
        <f t="shared" si="118"/>
        <v>219931.49734771211</v>
      </c>
      <c r="R303" s="25">
        <f t="shared" si="119"/>
        <v>4360.3433583575643</v>
      </c>
    </row>
    <row r="304" spans="2:18" x14ac:dyDescent="0.25">
      <c r="B304" s="22">
        <f t="shared" si="104"/>
        <v>293</v>
      </c>
      <c r="C304" s="23">
        <f t="shared" si="105"/>
        <v>26745.265249346638</v>
      </c>
      <c r="D304" s="23">
        <f t="shared" si="106"/>
        <v>117.01053546589139</v>
      </c>
      <c r="E304" s="23">
        <f t="shared" si="107"/>
        <v>338.55751880117475</v>
      </c>
      <c r="F304" s="24">
        <f t="shared" si="108"/>
        <v>0</v>
      </c>
      <c r="G304" s="23">
        <f t="shared" si="109"/>
        <v>0</v>
      </c>
      <c r="H304" s="24"/>
      <c r="I304" s="23">
        <f t="shared" si="110"/>
        <v>0</v>
      </c>
      <c r="J304" s="23">
        <f t="shared" si="111"/>
        <v>338.55751880117475</v>
      </c>
      <c r="K304" s="23">
        <f t="shared" si="112"/>
        <v>26406.707730545462</v>
      </c>
      <c r="L304" s="23">
        <f t="shared" si="113"/>
        <v>455.56805426706615</v>
      </c>
      <c r="M304" s="23">
        <f t="shared" si="100"/>
        <v>0</v>
      </c>
      <c r="N304" s="23">
        <f t="shared" si="101"/>
        <v>35.103160639767417</v>
      </c>
      <c r="O304" s="23">
        <f t="shared" si="102"/>
        <v>420.46489362729875</v>
      </c>
      <c r="P304" s="23">
        <f t="shared" si="103"/>
        <v>81.907374826123998</v>
      </c>
      <c r="Q304" s="23">
        <f t="shared" si="118"/>
        <v>219931.49734771211</v>
      </c>
      <c r="R304" s="25">
        <f t="shared" si="119"/>
        <v>4360.3433583575643</v>
      </c>
    </row>
    <row r="305" spans="2:18" x14ac:dyDescent="0.25">
      <c r="B305" s="22">
        <f t="shared" si="104"/>
        <v>294</v>
      </c>
      <c r="C305" s="23">
        <f t="shared" si="105"/>
        <v>26406.707730545462</v>
      </c>
      <c r="D305" s="23">
        <f t="shared" si="106"/>
        <v>115.52934632113625</v>
      </c>
      <c r="E305" s="23">
        <f t="shared" si="107"/>
        <v>340.0387079459299</v>
      </c>
      <c r="F305" s="24">
        <f t="shared" si="108"/>
        <v>0</v>
      </c>
      <c r="G305" s="23">
        <f t="shared" si="109"/>
        <v>0</v>
      </c>
      <c r="H305" s="24"/>
      <c r="I305" s="23">
        <f t="shared" si="110"/>
        <v>0</v>
      </c>
      <c r="J305" s="23">
        <f t="shared" si="111"/>
        <v>340.0387079459299</v>
      </c>
      <c r="K305" s="23">
        <f t="shared" si="112"/>
        <v>26066.669022599533</v>
      </c>
      <c r="L305" s="23">
        <f t="shared" si="113"/>
        <v>455.56805426706615</v>
      </c>
      <c r="M305" s="23">
        <f t="shared" si="100"/>
        <v>0</v>
      </c>
      <c r="N305" s="23">
        <f t="shared" si="101"/>
        <v>34.658803896340871</v>
      </c>
      <c r="O305" s="23">
        <f t="shared" si="102"/>
        <v>420.90925037072526</v>
      </c>
      <c r="P305" s="23">
        <f t="shared" si="103"/>
        <v>80.87054242479536</v>
      </c>
      <c r="Q305" s="23">
        <f t="shared" si="118"/>
        <v>219931.49734771211</v>
      </c>
      <c r="R305" s="25">
        <f t="shared" si="119"/>
        <v>4360.3433583575643</v>
      </c>
    </row>
    <row r="306" spans="2:18" x14ac:dyDescent="0.25">
      <c r="B306" s="22">
        <f t="shared" si="104"/>
        <v>295</v>
      </c>
      <c r="C306" s="23">
        <f t="shared" si="105"/>
        <v>26066.669022599533</v>
      </c>
      <c r="D306" s="23">
        <f t="shared" si="106"/>
        <v>114.04167697387281</v>
      </c>
      <c r="E306" s="23">
        <f t="shared" si="107"/>
        <v>341.52637729319326</v>
      </c>
      <c r="F306" s="24">
        <f t="shared" si="108"/>
        <v>0</v>
      </c>
      <c r="G306" s="23">
        <f t="shared" si="109"/>
        <v>0</v>
      </c>
      <c r="H306" s="24"/>
      <c r="I306" s="23">
        <f t="shared" si="110"/>
        <v>0</v>
      </c>
      <c r="J306" s="23">
        <f t="shared" si="111"/>
        <v>341.52637729319326</v>
      </c>
      <c r="K306" s="23">
        <f t="shared" si="112"/>
        <v>25725.14264530634</v>
      </c>
      <c r="L306" s="23">
        <f t="shared" si="113"/>
        <v>455.56805426706609</v>
      </c>
      <c r="M306" s="23">
        <f t="shared" si="100"/>
        <v>0</v>
      </c>
      <c r="N306" s="23">
        <f t="shared" si="101"/>
        <v>34.212503092161839</v>
      </c>
      <c r="O306" s="23">
        <f t="shared" si="102"/>
        <v>421.35555117490424</v>
      </c>
      <c r="P306" s="23">
        <f t="shared" si="103"/>
        <v>79.829173881710972</v>
      </c>
      <c r="Q306" s="23">
        <f t="shared" si="118"/>
        <v>219931.49734771211</v>
      </c>
      <c r="R306" s="25">
        <f t="shared" si="119"/>
        <v>4360.3433583575643</v>
      </c>
    </row>
    <row r="307" spans="2:18" x14ac:dyDescent="0.25">
      <c r="B307" s="22">
        <f t="shared" si="104"/>
        <v>296</v>
      </c>
      <c r="C307" s="23">
        <f t="shared" si="105"/>
        <v>25725.14264530634</v>
      </c>
      <c r="D307" s="23">
        <f t="shared" si="106"/>
        <v>112.54749907321509</v>
      </c>
      <c r="E307" s="23">
        <f t="shared" si="107"/>
        <v>343.02055519385107</v>
      </c>
      <c r="F307" s="24">
        <f t="shared" si="108"/>
        <v>0</v>
      </c>
      <c r="G307" s="23">
        <f t="shared" si="109"/>
        <v>0</v>
      </c>
      <c r="H307" s="24"/>
      <c r="I307" s="23">
        <f t="shared" si="110"/>
        <v>0</v>
      </c>
      <c r="J307" s="23">
        <f t="shared" si="111"/>
        <v>343.02055519385107</v>
      </c>
      <c r="K307" s="23">
        <f t="shared" si="112"/>
        <v>25382.122090112487</v>
      </c>
      <c r="L307" s="23">
        <f t="shared" si="113"/>
        <v>455.56805426706615</v>
      </c>
      <c r="M307" s="23">
        <f t="shared" si="100"/>
        <v>0</v>
      </c>
      <c r="N307" s="23">
        <f t="shared" si="101"/>
        <v>33.764249721964525</v>
      </c>
      <c r="O307" s="23">
        <f t="shared" si="102"/>
        <v>421.80380454510163</v>
      </c>
      <c r="P307" s="23">
        <f t="shared" si="103"/>
        <v>78.783249351250561</v>
      </c>
      <c r="Q307" s="23">
        <f t="shared" si="118"/>
        <v>219931.49734771211</v>
      </c>
      <c r="R307" s="25">
        <f t="shared" si="119"/>
        <v>4360.3433583575643</v>
      </c>
    </row>
    <row r="308" spans="2:18" x14ac:dyDescent="0.25">
      <c r="B308" s="22">
        <f t="shared" si="104"/>
        <v>297</v>
      </c>
      <c r="C308" s="23">
        <f t="shared" si="105"/>
        <v>25382.122090112487</v>
      </c>
      <c r="D308" s="23">
        <f t="shared" si="106"/>
        <v>111.04678414424201</v>
      </c>
      <c r="E308" s="23">
        <f t="shared" si="107"/>
        <v>344.52127012282409</v>
      </c>
      <c r="F308" s="24">
        <f t="shared" si="108"/>
        <v>0</v>
      </c>
      <c r="G308" s="23">
        <f t="shared" si="109"/>
        <v>0</v>
      </c>
      <c r="H308" s="24"/>
      <c r="I308" s="23">
        <f t="shared" si="110"/>
        <v>0</v>
      </c>
      <c r="J308" s="23">
        <f t="shared" si="111"/>
        <v>344.52127012282409</v>
      </c>
      <c r="K308" s="23">
        <f t="shared" si="112"/>
        <v>25037.600819989664</v>
      </c>
      <c r="L308" s="23">
        <f t="shared" si="113"/>
        <v>455.56805426706609</v>
      </c>
      <c r="M308" s="23">
        <f t="shared" si="100"/>
        <v>0</v>
      </c>
      <c r="N308" s="23">
        <f t="shared" si="101"/>
        <v>33.314035243272599</v>
      </c>
      <c r="O308" s="23">
        <f t="shared" si="102"/>
        <v>422.25401902379349</v>
      </c>
      <c r="P308" s="23">
        <f t="shared" si="103"/>
        <v>77.732748900969398</v>
      </c>
      <c r="Q308" s="23">
        <f t="shared" si="118"/>
        <v>219931.49734771211</v>
      </c>
      <c r="R308" s="25">
        <f t="shared" si="119"/>
        <v>4360.3433583575643</v>
      </c>
    </row>
    <row r="309" spans="2:18" x14ac:dyDescent="0.25">
      <c r="B309" s="22">
        <f t="shared" si="104"/>
        <v>298</v>
      </c>
      <c r="C309" s="23">
        <f t="shared" si="105"/>
        <v>25037.600819989664</v>
      </c>
      <c r="D309" s="23">
        <f t="shared" si="106"/>
        <v>109.53950358745466</v>
      </c>
      <c r="E309" s="23">
        <f t="shared" si="107"/>
        <v>346.0285506796115</v>
      </c>
      <c r="F309" s="24">
        <f t="shared" si="108"/>
        <v>0</v>
      </c>
      <c r="G309" s="23">
        <f t="shared" si="109"/>
        <v>0</v>
      </c>
      <c r="H309" s="24"/>
      <c r="I309" s="23">
        <f t="shared" si="110"/>
        <v>0</v>
      </c>
      <c r="J309" s="23">
        <f t="shared" si="111"/>
        <v>346.0285506796115</v>
      </c>
      <c r="K309" s="23">
        <f t="shared" si="112"/>
        <v>24691.572269310054</v>
      </c>
      <c r="L309" s="23">
        <f t="shared" si="113"/>
        <v>455.56805426706615</v>
      </c>
      <c r="M309" s="23">
        <f t="shared" si="100"/>
        <v>0</v>
      </c>
      <c r="N309" s="23">
        <f t="shared" si="101"/>
        <v>32.861851076236398</v>
      </c>
      <c r="O309" s="23">
        <f t="shared" si="102"/>
        <v>422.70620319082974</v>
      </c>
      <c r="P309" s="23">
        <f t="shared" si="103"/>
        <v>76.677652511218241</v>
      </c>
      <c r="Q309" s="23">
        <f t="shared" si="118"/>
        <v>219931.49734771211</v>
      </c>
      <c r="R309" s="25">
        <f t="shared" si="119"/>
        <v>4360.3433583575643</v>
      </c>
    </row>
    <row r="310" spans="2:18" x14ac:dyDescent="0.25">
      <c r="B310" s="22">
        <f t="shared" si="104"/>
        <v>299</v>
      </c>
      <c r="C310" s="23">
        <f t="shared" si="105"/>
        <v>24691.572269310054</v>
      </c>
      <c r="D310" s="23">
        <f t="shared" si="106"/>
        <v>108.02562867823133</v>
      </c>
      <c r="E310" s="23">
        <f t="shared" si="107"/>
        <v>347.54242558883476</v>
      </c>
      <c r="F310" s="24">
        <f t="shared" si="108"/>
        <v>0</v>
      </c>
      <c r="G310" s="23">
        <f t="shared" si="109"/>
        <v>0</v>
      </c>
      <c r="H310" s="24"/>
      <c r="I310" s="23">
        <f t="shared" si="110"/>
        <v>0</v>
      </c>
      <c r="J310" s="23">
        <f t="shared" si="111"/>
        <v>347.54242558883476</v>
      </c>
      <c r="K310" s="23">
        <f t="shared" si="112"/>
        <v>24344.029843721219</v>
      </c>
      <c r="L310" s="23">
        <f t="shared" si="113"/>
        <v>455.56805426706609</v>
      </c>
      <c r="M310" s="23">
        <f t="shared" si="100"/>
        <v>0</v>
      </c>
      <c r="N310" s="23">
        <f t="shared" si="101"/>
        <v>32.407688603469396</v>
      </c>
      <c r="O310" s="23">
        <f t="shared" si="102"/>
        <v>423.16036566359668</v>
      </c>
      <c r="P310" s="23">
        <f t="shared" si="103"/>
        <v>75.617940074761918</v>
      </c>
      <c r="Q310" s="23">
        <f t="shared" si="118"/>
        <v>219931.49734771211</v>
      </c>
      <c r="R310" s="25">
        <f t="shared" si="119"/>
        <v>4360.3433583575643</v>
      </c>
    </row>
    <row r="311" spans="2:18" x14ac:dyDescent="0.25">
      <c r="B311" s="22">
        <f t="shared" si="104"/>
        <v>300</v>
      </c>
      <c r="C311" s="23">
        <f t="shared" si="105"/>
        <v>24344.029843721219</v>
      </c>
      <c r="D311" s="23">
        <f t="shared" si="106"/>
        <v>106.50513056628017</v>
      </c>
      <c r="E311" s="23">
        <f t="shared" si="107"/>
        <v>349.06292370078592</v>
      </c>
      <c r="F311" s="24">
        <f t="shared" si="108"/>
        <v>0</v>
      </c>
      <c r="G311" s="23">
        <f t="shared" si="109"/>
        <v>0</v>
      </c>
      <c r="H311" s="24"/>
      <c r="I311" s="23">
        <f t="shared" si="110"/>
        <v>0</v>
      </c>
      <c r="J311" s="23">
        <f t="shared" si="111"/>
        <v>349.06292370078592</v>
      </c>
      <c r="K311" s="23">
        <f t="shared" si="112"/>
        <v>23994.966920020433</v>
      </c>
      <c r="L311" s="23">
        <f t="shared" si="113"/>
        <v>455.56805426706609</v>
      </c>
      <c r="M311" s="23">
        <f t="shared" si="100"/>
        <v>0</v>
      </c>
      <c r="N311" s="23">
        <f t="shared" si="101"/>
        <v>31.95153916988405</v>
      </c>
      <c r="O311" s="23">
        <f t="shared" si="102"/>
        <v>423.61651509718206</v>
      </c>
      <c r="P311" s="23">
        <f t="shared" si="103"/>
        <v>74.553591396396143</v>
      </c>
      <c r="Q311" s="23">
        <f t="shared" si="118"/>
        <v>219931.49734771211</v>
      </c>
      <c r="R311" s="25">
        <f t="shared" si="119"/>
        <v>4360.3433583575643</v>
      </c>
    </row>
    <row r="312" spans="2:18" x14ac:dyDescent="0.25">
      <c r="B312" s="22">
        <f t="shared" si="104"/>
        <v>301</v>
      </c>
      <c r="C312" s="23">
        <f t="shared" si="105"/>
        <v>23994.966920020433</v>
      </c>
      <c r="D312" s="23">
        <f t="shared" si="106"/>
        <v>104.97798027508924</v>
      </c>
      <c r="E312" s="23">
        <f t="shared" si="107"/>
        <v>350.59007399197691</v>
      </c>
      <c r="F312" s="24">
        <f t="shared" si="108"/>
        <v>0</v>
      </c>
      <c r="G312" s="23">
        <f t="shared" si="109"/>
        <v>0</v>
      </c>
      <c r="H312" s="24"/>
      <c r="I312" s="23">
        <f t="shared" si="110"/>
        <v>0</v>
      </c>
      <c r="J312" s="23">
        <f t="shared" si="111"/>
        <v>350.59007399197691</v>
      </c>
      <c r="K312" s="23">
        <f t="shared" si="112"/>
        <v>23644.376846028455</v>
      </c>
      <c r="L312" s="23">
        <f t="shared" si="113"/>
        <v>455.56805426706615</v>
      </c>
      <c r="M312" s="23">
        <f t="shared" si="100"/>
        <v>0</v>
      </c>
      <c r="N312" s="23">
        <f t="shared" si="101"/>
        <v>31.49339408252677</v>
      </c>
      <c r="O312" s="23">
        <f t="shared" si="102"/>
        <v>424.07466018453937</v>
      </c>
      <c r="P312" s="23">
        <f t="shared" si="103"/>
        <v>73.48458619256246</v>
      </c>
      <c r="Q312" s="23">
        <f>$Q$311+ $Q$311*$L$8</f>
        <v>228728.75724162059</v>
      </c>
      <c r="R312" s="25">
        <f>$R$311 + ($R$311 * $S$5)</f>
        <v>4491.1536591082913</v>
      </c>
    </row>
    <row r="313" spans="2:18" x14ac:dyDescent="0.25">
      <c r="B313" s="22">
        <f t="shared" si="104"/>
        <v>302</v>
      </c>
      <c r="C313" s="23">
        <f t="shared" si="105"/>
        <v>23644.376846028455</v>
      </c>
      <c r="D313" s="23">
        <f t="shared" si="106"/>
        <v>103.44414870137436</v>
      </c>
      <c r="E313" s="23">
        <f t="shared" si="107"/>
        <v>352.12390556569181</v>
      </c>
      <c r="F313" s="24">
        <f t="shared" si="108"/>
        <v>0</v>
      </c>
      <c r="G313" s="23">
        <f t="shared" si="109"/>
        <v>0</v>
      </c>
      <c r="H313" s="24"/>
      <c r="I313" s="23">
        <f t="shared" si="110"/>
        <v>0</v>
      </c>
      <c r="J313" s="23">
        <f t="shared" si="111"/>
        <v>352.12390556569181</v>
      </c>
      <c r="K313" s="23">
        <f t="shared" si="112"/>
        <v>23292.252940462764</v>
      </c>
      <c r="L313" s="23">
        <f t="shared" si="113"/>
        <v>455.56805426706615</v>
      </c>
      <c r="M313" s="23">
        <f t="shared" si="100"/>
        <v>0</v>
      </c>
      <c r="N313" s="23">
        <f t="shared" si="101"/>
        <v>31.033244610412307</v>
      </c>
      <c r="O313" s="23">
        <f t="shared" si="102"/>
        <v>424.53480965665386</v>
      </c>
      <c r="P313" s="23">
        <f t="shared" si="103"/>
        <v>72.410904090962049</v>
      </c>
      <c r="Q313" s="23">
        <f t="shared" ref="Q313:Q323" si="120">$Q$311+ $Q$311*$L$8</f>
        <v>228728.75724162059</v>
      </c>
      <c r="R313" s="25">
        <f t="shared" ref="R313:R323" si="121">$R$311 + ($R$311 * $S$5)</f>
        <v>4491.1536591082913</v>
      </c>
    </row>
    <row r="314" spans="2:18" x14ac:dyDescent="0.25">
      <c r="B314" s="22">
        <f t="shared" si="104"/>
        <v>303</v>
      </c>
      <c r="C314" s="23">
        <f t="shared" si="105"/>
        <v>23292.252940462764</v>
      </c>
      <c r="D314" s="23">
        <f t="shared" si="106"/>
        <v>101.90360661452448</v>
      </c>
      <c r="E314" s="23">
        <f t="shared" si="107"/>
        <v>353.66444765254164</v>
      </c>
      <c r="F314" s="24">
        <f t="shared" si="108"/>
        <v>0</v>
      </c>
      <c r="G314" s="23">
        <f t="shared" si="109"/>
        <v>0</v>
      </c>
      <c r="H314" s="24"/>
      <c r="I314" s="23">
        <f t="shared" si="110"/>
        <v>0</v>
      </c>
      <c r="J314" s="23">
        <f t="shared" si="111"/>
        <v>353.66444765254164</v>
      </c>
      <c r="K314" s="23">
        <f t="shared" si="112"/>
        <v>22938.588492810224</v>
      </c>
      <c r="L314" s="23">
        <f t="shared" si="113"/>
        <v>455.56805426706615</v>
      </c>
      <c r="M314" s="23">
        <f t="shared" si="100"/>
        <v>0</v>
      </c>
      <c r="N314" s="23">
        <f t="shared" si="101"/>
        <v>30.571081984357342</v>
      </c>
      <c r="O314" s="23">
        <f t="shared" si="102"/>
        <v>424.99697228270878</v>
      </c>
      <c r="P314" s="23">
        <f t="shared" si="103"/>
        <v>71.332524630167143</v>
      </c>
      <c r="Q314" s="23">
        <f t="shared" si="120"/>
        <v>228728.75724162059</v>
      </c>
      <c r="R314" s="25">
        <f t="shared" si="121"/>
        <v>4491.1536591082913</v>
      </c>
    </row>
    <row r="315" spans="2:18" x14ac:dyDescent="0.25">
      <c r="B315" s="22">
        <f t="shared" si="104"/>
        <v>304</v>
      </c>
      <c r="C315" s="23">
        <f t="shared" si="105"/>
        <v>22938.588492810224</v>
      </c>
      <c r="D315" s="23">
        <f t="shared" si="106"/>
        <v>100.35632465604456</v>
      </c>
      <c r="E315" s="23">
        <f t="shared" si="107"/>
        <v>355.21172961102155</v>
      </c>
      <c r="F315" s="24">
        <f t="shared" si="108"/>
        <v>0</v>
      </c>
      <c r="G315" s="23">
        <f t="shared" si="109"/>
        <v>0</v>
      </c>
      <c r="H315" s="24"/>
      <c r="I315" s="23">
        <f t="shared" si="110"/>
        <v>0</v>
      </c>
      <c r="J315" s="23">
        <f t="shared" si="111"/>
        <v>355.21172961102155</v>
      </c>
      <c r="K315" s="23">
        <f t="shared" si="112"/>
        <v>22583.376763199201</v>
      </c>
      <c r="L315" s="23">
        <f t="shared" si="113"/>
        <v>455.56805426706615</v>
      </c>
      <c r="M315" s="23">
        <f t="shared" si="100"/>
        <v>0</v>
      </c>
      <c r="N315" s="23">
        <f t="shared" si="101"/>
        <v>30.106897396813366</v>
      </c>
      <c r="O315" s="23">
        <f t="shared" si="102"/>
        <v>425.46115687025281</v>
      </c>
      <c r="P315" s="23">
        <f t="shared" si="103"/>
        <v>70.249427259231254</v>
      </c>
      <c r="Q315" s="23">
        <f t="shared" si="120"/>
        <v>228728.75724162059</v>
      </c>
      <c r="R315" s="25">
        <f t="shared" si="121"/>
        <v>4491.1536591082913</v>
      </c>
    </row>
    <row r="316" spans="2:18" x14ac:dyDescent="0.25">
      <c r="B316" s="22">
        <f t="shared" si="104"/>
        <v>305</v>
      </c>
      <c r="C316" s="23">
        <f t="shared" si="105"/>
        <v>22583.376763199201</v>
      </c>
      <c r="D316" s="23">
        <f t="shared" si="106"/>
        <v>98.802273338996372</v>
      </c>
      <c r="E316" s="23">
        <f t="shared" si="107"/>
        <v>356.76578092806977</v>
      </c>
      <c r="F316" s="24">
        <f t="shared" si="108"/>
        <v>0</v>
      </c>
      <c r="G316" s="23">
        <f t="shared" si="109"/>
        <v>0</v>
      </c>
      <c r="H316" s="24"/>
      <c r="I316" s="23">
        <f t="shared" si="110"/>
        <v>0</v>
      </c>
      <c r="J316" s="23">
        <f t="shared" si="111"/>
        <v>356.76578092806977</v>
      </c>
      <c r="K316" s="23">
        <f t="shared" si="112"/>
        <v>22226.610982271133</v>
      </c>
      <c r="L316" s="23">
        <f t="shared" si="113"/>
        <v>455.56805426706615</v>
      </c>
      <c r="M316" s="23">
        <f t="shared" si="100"/>
        <v>0</v>
      </c>
      <c r="N316" s="23">
        <f t="shared" si="101"/>
        <v>29.640682001698909</v>
      </c>
      <c r="O316" s="23">
        <f t="shared" si="102"/>
        <v>425.92737226536724</v>
      </c>
      <c r="P316" s="23">
        <f t="shared" si="103"/>
        <v>69.161591337297466</v>
      </c>
      <c r="Q316" s="23">
        <f t="shared" si="120"/>
        <v>228728.75724162059</v>
      </c>
      <c r="R316" s="25">
        <f t="shared" si="121"/>
        <v>4491.1536591082913</v>
      </c>
    </row>
    <row r="317" spans="2:18" x14ac:dyDescent="0.25">
      <c r="B317" s="22">
        <f t="shared" si="104"/>
        <v>306</v>
      </c>
      <c r="C317" s="23">
        <f t="shared" si="105"/>
        <v>22226.610982271133</v>
      </c>
      <c r="D317" s="23">
        <f t="shared" si="106"/>
        <v>97.241423047436072</v>
      </c>
      <c r="E317" s="23">
        <f t="shared" si="107"/>
        <v>358.32663121963009</v>
      </c>
      <c r="F317" s="24">
        <f t="shared" si="108"/>
        <v>0</v>
      </c>
      <c r="G317" s="23">
        <f t="shared" si="109"/>
        <v>0</v>
      </c>
      <c r="H317" s="24"/>
      <c r="I317" s="23">
        <f t="shared" si="110"/>
        <v>0</v>
      </c>
      <c r="J317" s="23">
        <f t="shared" si="111"/>
        <v>358.32663121963009</v>
      </c>
      <c r="K317" s="23">
        <f t="shared" si="112"/>
        <v>21868.284351051505</v>
      </c>
      <c r="L317" s="23">
        <f t="shared" si="113"/>
        <v>455.56805426706615</v>
      </c>
      <c r="M317" s="23">
        <f t="shared" si="100"/>
        <v>0</v>
      </c>
      <c r="N317" s="23">
        <f t="shared" si="101"/>
        <v>29.172426914230819</v>
      </c>
      <c r="O317" s="23">
        <f t="shared" si="102"/>
        <v>426.39562735283533</v>
      </c>
      <c r="P317" s="23">
        <f t="shared" si="103"/>
        <v>68.068996133205246</v>
      </c>
      <c r="Q317" s="23">
        <f t="shared" si="120"/>
        <v>228728.75724162059</v>
      </c>
      <c r="R317" s="25">
        <f t="shared" si="121"/>
        <v>4491.1536591082913</v>
      </c>
    </row>
    <row r="318" spans="2:18" x14ac:dyDescent="0.25">
      <c r="B318" s="22">
        <f t="shared" si="104"/>
        <v>307</v>
      </c>
      <c r="C318" s="23">
        <f t="shared" si="105"/>
        <v>21868.284351051505</v>
      </c>
      <c r="D318" s="23">
        <f t="shared" si="106"/>
        <v>95.673744035850163</v>
      </c>
      <c r="E318" s="23">
        <f t="shared" si="107"/>
        <v>359.89431023121597</v>
      </c>
      <c r="F318" s="24">
        <f t="shared" si="108"/>
        <v>0</v>
      </c>
      <c r="G318" s="23">
        <f t="shared" si="109"/>
        <v>0</v>
      </c>
      <c r="H318" s="24"/>
      <c r="I318" s="23">
        <f t="shared" si="110"/>
        <v>0</v>
      </c>
      <c r="J318" s="23">
        <f t="shared" si="111"/>
        <v>359.89431023121597</v>
      </c>
      <c r="K318" s="23">
        <f t="shared" si="112"/>
        <v>21508.39004082029</v>
      </c>
      <c r="L318" s="23">
        <f t="shared" si="113"/>
        <v>455.56805426706615</v>
      </c>
      <c r="M318" s="23">
        <f t="shared" si="100"/>
        <v>0</v>
      </c>
      <c r="N318" s="23">
        <f t="shared" si="101"/>
        <v>28.702123210755047</v>
      </c>
      <c r="O318" s="23">
        <f t="shared" si="102"/>
        <v>426.86593105631107</v>
      </c>
      <c r="P318" s="23">
        <f t="shared" si="103"/>
        <v>66.971620825095101</v>
      </c>
      <c r="Q318" s="23">
        <f t="shared" si="120"/>
        <v>228728.75724162059</v>
      </c>
      <c r="R318" s="25">
        <f t="shared" si="121"/>
        <v>4491.1536591082913</v>
      </c>
    </row>
    <row r="319" spans="2:18" x14ac:dyDescent="0.25">
      <c r="B319" s="22">
        <f t="shared" si="104"/>
        <v>308</v>
      </c>
      <c r="C319" s="23">
        <f t="shared" si="105"/>
        <v>21508.39004082029</v>
      </c>
      <c r="D319" s="23">
        <f t="shared" si="106"/>
        <v>94.099206428588602</v>
      </c>
      <c r="E319" s="23">
        <f t="shared" si="107"/>
        <v>361.46884783847759</v>
      </c>
      <c r="F319" s="24">
        <f t="shared" si="108"/>
        <v>0</v>
      </c>
      <c r="G319" s="23">
        <f t="shared" si="109"/>
        <v>0</v>
      </c>
      <c r="H319" s="24"/>
      <c r="I319" s="23">
        <f t="shared" si="110"/>
        <v>0</v>
      </c>
      <c r="J319" s="23">
        <f t="shared" si="111"/>
        <v>361.46884783847759</v>
      </c>
      <c r="K319" s="23">
        <f t="shared" si="112"/>
        <v>21146.921192981812</v>
      </c>
      <c r="L319" s="23">
        <f t="shared" si="113"/>
        <v>455.5680542670662</v>
      </c>
      <c r="M319" s="23">
        <f t="shared" si="100"/>
        <v>0</v>
      </c>
      <c r="N319" s="23">
        <f t="shared" si="101"/>
        <v>28.229761928576579</v>
      </c>
      <c r="O319" s="23">
        <f t="shared" si="102"/>
        <v>427.33829233848962</v>
      </c>
      <c r="P319" s="23">
        <f t="shared" si="103"/>
        <v>65.869444500012037</v>
      </c>
      <c r="Q319" s="23">
        <f t="shared" si="120"/>
        <v>228728.75724162059</v>
      </c>
      <c r="R319" s="25">
        <f t="shared" si="121"/>
        <v>4491.1536591082913</v>
      </c>
    </row>
    <row r="320" spans="2:18" x14ac:dyDescent="0.25">
      <c r="B320" s="22">
        <f t="shared" si="104"/>
        <v>309</v>
      </c>
      <c r="C320" s="23">
        <f t="shared" si="105"/>
        <v>21146.921192981812</v>
      </c>
      <c r="D320" s="23">
        <f t="shared" si="106"/>
        <v>92.517780219295261</v>
      </c>
      <c r="E320" s="23">
        <f t="shared" si="107"/>
        <v>363.05027404777093</v>
      </c>
      <c r="F320" s="24">
        <f t="shared" si="108"/>
        <v>0</v>
      </c>
      <c r="G320" s="23">
        <f t="shared" si="109"/>
        <v>0</v>
      </c>
      <c r="H320" s="24"/>
      <c r="I320" s="23">
        <f t="shared" si="110"/>
        <v>0</v>
      </c>
      <c r="J320" s="23">
        <f t="shared" si="111"/>
        <v>363.05027404777093</v>
      </c>
      <c r="K320" s="23">
        <f t="shared" si="112"/>
        <v>20783.870918934041</v>
      </c>
      <c r="L320" s="23">
        <f t="shared" si="113"/>
        <v>455.5680542670662</v>
      </c>
      <c r="M320" s="23">
        <f t="shared" si="100"/>
        <v>0</v>
      </c>
      <c r="N320" s="23">
        <f t="shared" si="101"/>
        <v>27.755334065788578</v>
      </c>
      <c r="O320" s="23">
        <f t="shared" si="102"/>
        <v>427.81272020127761</v>
      </c>
      <c r="P320" s="23">
        <f t="shared" si="103"/>
        <v>64.762446153506687</v>
      </c>
      <c r="Q320" s="23">
        <f t="shared" si="120"/>
        <v>228728.75724162059</v>
      </c>
      <c r="R320" s="25">
        <f t="shared" si="121"/>
        <v>4491.1536591082913</v>
      </c>
    </row>
    <row r="321" spans="2:18" x14ac:dyDescent="0.25">
      <c r="B321" s="22">
        <f t="shared" si="104"/>
        <v>310</v>
      </c>
      <c r="C321" s="23">
        <f t="shared" si="105"/>
        <v>20783.870918934041</v>
      </c>
      <c r="D321" s="23">
        <f t="shared" si="106"/>
        <v>90.929435270336256</v>
      </c>
      <c r="E321" s="23">
        <f t="shared" si="107"/>
        <v>364.63861899672986</v>
      </c>
      <c r="F321" s="24">
        <f t="shared" si="108"/>
        <v>0</v>
      </c>
      <c r="G321" s="23">
        <f t="shared" si="109"/>
        <v>0</v>
      </c>
      <c r="H321" s="24"/>
      <c r="I321" s="23">
        <f t="shared" si="110"/>
        <v>0</v>
      </c>
      <c r="J321" s="23">
        <f t="shared" si="111"/>
        <v>364.63861899672986</v>
      </c>
      <c r="K321" s="23">
        <f t="shared" si="112"/>
        <v>20419.23229993731</v>
      </c>
      <c r="L321" s="23">
        <f t="shared" si="113"/>
        <v>455.56805426706615</v>
      </c>
      <c r="M321" s="23">
        <f t="shared" si="100"/>
        <v>0</v>
      </c>
      <c r="N321" s="23">
        <f t="shared" si="101"/>
        <v>27.278830581100877</v>
      </c>
      <c r="O321" s="23">
        <f t="shared" si="102"/>
        <v>428.28922368596528</v>
      </c>
      <c r="P321" s="23">
        <f t="shared" si="103"/>
        <v>63.650604689235422</v>
      </c>
      <c r="Q321" s="23">
        <f t="shared" si="120"/>
        <v>228728.75724162059</v>
      </c>
      <c r="R321" s="25">
        <f t="shared" si="121"/>
        <v>4491.1536591082913</v>
      </c>
    </row>
    <row r="322" spans="2:18" x14ac:dyDescent="0.25">
      <c r="B322" s="22">
        <f t="shared" si="104"/>
        <v>311</v>
      </c>
      <c r="C322" s="23">
        <f t="shared" si="105"/>
        <v>20419.23229993731</v>
      </c>
      <c r="D322" s="23">
        <f t="shared" si="106"/>
        <v>89.334141312225583</v>
      </c>
      <c r="E322" s="23">
        <f t="shared" si="107"/>
        <v>366.2339129548406</v>
      </c>
      <c r="F322" s="24">
        <f t="shared" si="108"/>
        <v>0</v>
      </c>
      <c r="G322" s="23">
        <f t="shared" si="109"/>
        <v>0</v>
      </c>
      <c r="H322" s="24"/>
      <c r="I322" s="23">
        <f t="shared" si="110"/>
        <v>0</v>
      </c>
      <c r="J322" s="23">
        <f t="shared" si="111"/>
        <v>366.2339129548406</v>
      </c>
      <c r="K322" s="23">
        <f t="shared" si="112"/>
        <v>20052.998386982468</v>
      </c>
      <c r="L322" s="23">
        <f t="shared" si="113"/>
        <v>455.5680542670662</v>
      </c>
      <c r="M322" s="23">
        <f t="shared" si="100"/>
        <v>0</v>
      </c>
      <c r="N322" s="23">
        <f t="shared" si="101"/>
        <v>26.800242393667673</v>
      </c>
      <c r="O322" s="23">
        <f t="shared" si="102"/>
        <v>428.7678118733985</v>
      </c>
      <c r="P322" s="23">
        <f t="shared" si="103"/>
        <v>62.533898918557895</v>
      </c>
      <c r="Q322" s="23">
        <f t="shared" si="120"/>
        <v>228728.75724162059</v>
      </c>
      <c r="R322" s="25">
        <f t="shared" si="121"/>
        <v>4491.1536591082913</v>
      </c>
    </row>
    <row r="323" spans="2:18" x14ac:dyDescent="0.25">
      <c r="B323" s="22">
        <f t="shared" si="104"/>
        <v>312</v>
      </c>
      <c r="C323" s="23">
        <f t="shared" si="105"/>
        <v>20052.998386982468</v>
      </c>
      <c r="D323" s="23">
        <f t="shared" si="106"/>
        <v>87.731867943048144</v>
      </c>
      <c r="E323" s="23">
        <f t="shared" si="107"/>
        <v>367.836186324018</v>
      </c>
      <c r="F323" s="24">
        <f t="shared" si="108"/>
        <v>0</v>
      </c>
      <c r="G323" s="23">
        <f t="shared" si="109"/>
        <v>0</v>
      </c>
      <c r="H323" s="24"/>
      <c r="I323" s="23">
        <f t="shared" si="110"/>
        <v>0</v>
      </c>
      <c r="J323" s="23">
        <f t="shared" si="111"/>
        <v>367.836186324018</v>
      </c>
      <c r="K323" s="23">
        <f t="shared" si="112"/>
        <v>19685.162200658451</v>
      </c>
      <c r="L323" s="23">
        <f t="shared" si="113"/>
        <v>455.56805426706615</v>
      </c>
      <c r="M323" s="23">
        <f t="shared" si="100"/>
        <v>0</v>
      </c>
      <c r="N323" s="23">
        <f t="shared" si="101"/>
        <v>26.319560382914442</v>
      </c>
      <c r="O323" s="23">
        <f t="shared" si="102"/>
        <v>429.24849388415169</v>
      </c>
      <c r="P323" s="23">
        <f t="shared" si="103"/>
        <v>61.412307560133684</v>
      </c>
      <c r="Q323" s="23">
        <f t="shared" si="120"/>
        <v>228728.75724162059</v>
      </c>
      <c r="R323" s="25">
        <f t="shared" si="121"/>
        <v>4491.1536591082913</v>
      </c>
    </row>
    <row r="324" spans="2:18" x14ac:dyDescent="0.25">
      <c r="B324" s="22">
        <f t="shared" si="104"/>
        <v>313</v>
      </c>
      <c r="C324" s="23">
        <f t="shared" si="105"/>
        <v>19685.162200658451</v>
      </c>
      <c r="D324" s="23">
        <f t="shared" si="106"/>
        <v>86.122584627880556</v>
      </c>
      <c r="E324" s="23">
        <f t="shared" si="107"/>
        <v>369.44546963918555</v>
      </c>
      <c r="F324" s="24">
        <f t="shared" si="108"/>
        <v>0</v>
      </c>
      <c r="G324" s="23">
        <f t="shared" si="109"/>
        <v>0</v>
      </c>
      <c r="H324" s="24"/>
      <c r="I324" s="23">
        <f t="shared" si="110"/>
        <v>0</v>
      </c>
      <c r="J324" s="23">
        <f t="shared" si="111"/>
        <v>369.44546963918555</v>
      </c>
      <c r="K324" s="23">
        <f t="shared" si="112"/>
        <v>19315.716731019267</v>
      </c>
      <c r="L324" s="23">
        <f t="shared" si="113"/>
        <v>455.56805426706609</v>
      </c>
      <c r="M324" s="23">
        <f t="shared" si="100"/>
        <v>0</v>
      </c>
      <c r="N324" s="23">
        <f t="shared" si="101"/>
        <v>25.836775388364167</v>
      </c>
      <c r="O324" s="23">
        <f t="shared" si="102"/>
        <v>429.73127887870191</v>
      </c>
      <c r="P324" s="23">
        <f t="shared" si="103"/>
        <v>60.285809239516368</v>
      </c>
      <c r="Q324" s="23">
        <f>$Q$323+ $Q$323*$L$8</f>
        <v>237877.90753128543</v>
      </c>
      <c r="R324" s="25">
        <f>$R$323 + ($R$323 * $S$5)</f>
        <v>4625.8882688815402</v>
      </c>
    </row>
    <row r="325" spans="2:18" x14ac:dyDescent="0.25">
      <c r="B325" s="22">
        <f t="shared" si="104"/>
        <v>314</v>
      </c>
      <c r="C325" s="23">
        <f t="shared" si="105"/>
        <v>19315.716731019267</v>
      </c>
      <c r="D325" s="23">
        <f t="shared" si="106"/>
        <v>84.506260698209132</v>
      </c>
      <c r="E325" s="23">
        <f t="shared" si="107"/>
        <v>371.06179356885701</v>
      </c>
      <c r="F325" s="24">
        <f t="shared" si="108"/>
        <v>0</v>
      </c>
      <c r="G325" s="23">
        <f t="shared" si="109"/>
        <v>0</v>
      </c>
      <c r="H325" s="24"/>
      <c r="I325" s="23">
        <f t="shared" si="110"/>
        <v>0</v>
      </c>
      <c r="J325" s="23">
        <f t="shared" si="111"/>
        <v>371.06179356885701</v>
      </c>
      <c r="K325" s="23">
        <f t="shared" si="112"/>
        <v>18944.65493745041</v>
      </c>
      <c r="L325" s="23">
        <f t="shared" si="113"/>
        <v>455.56805426706615</v>
      </c>
      <c r="M325" s="23">
        <f t="shared" si="100"/>
        <v>0</v>
      </c>
      <c r="N325" s="23">
        <f t="shared" si="101"/>
        <v>25.35187820946274</v>
      </c>
      <c r="O325" s="23">
        <f t="shared" si="102"/>
        <v>430.21617605760343</v>
      </c>
      <c r="P325" s="23">
        <f t="shared" si="103"/>
        <v>59.154382488746421</v>
      </c>
      <c r="Q325" s="23">
        <f t="shared" ref="Q325:Q335" si="122">$Q$323+ $Q$323*$L$8</f>
        <v>237877.90753128543</v>
      </c>
      <c r="R325" s="25">
        <f t="shared" ref="R325:R334" si="123">$R$323 + ($R$323 * $S$5)</f>
        <v>4625.8882688815402</v>
      </c>
    </row>
    <row r="326" spans="2:18" x14ac:dyDescent="0.25">
      <c r="B326" s="22">
        <f t="shared" si="104"/>
        <v>315</v>
      </c>
      <c r="C326" s="23">
        <f t="shared" si="105"/>
        <v>18944.65493745041</v>
      </c>
      <c r="D326" s="23">
        <f t="shared" si="106"/>
        <v>82.882865351345373</v>
      </c>
      <c r="E326" s="23">
        <f t="shared" si="107"/>
        <v>372.68518891572074</v>
      </c>
      <c r="F326" s="24">
        <f t="shared" si="108"/>
        <v>0</v>
      </c>
      <c r="G326" s="23">
        <f t="shared" si="109"/>
        <v>0</v>
      </c>
      <c r="H326" s="24"/>
      <c r="I326" s="23">
        <f t="shared" si="110"/>
        <v>0</v>
      </c>
      <c r="J326" s="23">
        <f t="shared" si="111"/>
        <v>372.68518891572074</v>
      </c>
      <c r="K326" s="23">
        <f t="shared" si="112"/>
        <v>18571.969748534688</v>
      </c>
      <c r="L326" s="23">
        <f t="shared" si="113"/>
        <v>455.56805426706615</v>
      </c>
      <c r="M326" s="23">
        <f t="shared" si="100"/>
        <v>0</v>
      </c>
      <c r="N326" s="23">
        <f t="shared" si="101"/>
        <v>24.864859605403613</v>
      </c>
      <c r="O326" s="23">
        <f t="shared" si="102"/>
        <v>430.70319466166251</v>
      </c>
      <c r="P326" s="23">
        <f t="shared" si="103"/>
        <v>58.018005745941764</v>
      </c>
      <c r="Q326" s="23">
        <f t="shared" si="122"/>
        <v>237877.90753128543</v>
      </c>
      <c r="R326" s="25">
        <f t="shared" si="123"/>
        <v>4625.8882688815402</v>
      </c>
    </row>
    <row r="327" spans="2:18" x14ac:dyDescent="0.25">
      <c r="B327" s="22">
        <f t="shared" si="104"/>
        <v>316</v>
      </c>
      <c r="C327" s="23">
        <f t="shared" si="105"/>
        <v>18571.969748534688</v>
      </c>
      <c r="D327" s="23">
        <f t="shared" si="106"/>
        <v>81.252367649839101</v>
      </c>
      <c r="E327" s="23">
        <f t="shared" si="107"/>
        <v>374.31568661722702</v>
      </c>
      <c r="F327" s="24">
        <f t="shared" si="108"/>
        <v>0</v>
      </c>
      <c r="G327" s="23">
        <f t="shared" si="109"/>
        <v>0</v>
      </c>
      <c r="H327" s="24"/>
      <c r="I327" s="23">
        <f t="shared" si="110"/>
        <v>0</v>
      </c>
      <c r="J327" s="23">
        <f t="shared" si="111"/>
        <v>374.31568661722702</v>
      </c>
      <c r="K327" s="23">
        <f t="shared" si="112"/>
        <v>18197.654061917459</v>
      </c>
      <c r="L327" s="23">
        <f t="shared" si="113"/>
        <v>455.56805426706615</v>
      </c>
      <c r="M327" s="23">
        <f t="shared" si="100"/>
        <v>0</v>
      </c>
      <c r="N327" s="23">
        <f t="shared" si="101"/>
        <v>24.37571029495173</v>
      </c>
      <c r="O327" s="23">
        <f t="shared" si="102"/>
        <v>431.19234397211443</v>
      </c>
      <c r="P327" s="23">
        <f t="shared" si="103"/>
        <v>56.876657354887413</v>
      </c>
      <c r="Q327" s="23">
        <f t="shared" si="122"/>
        <v>237877.90753128543</v>
      </c>
      <c r="R327" s="25">
        <f t="shared" si="123"/>
        <v>4625.8882688815402</v>
      </c>
    </row>
    <row r="328" spans="2:18" x14ac:dyDescent="0.25">
      <c r="B328" s="22">
        <f t="shared" si="104"/>
        <v>317</v>
      </c>
      <c r="C328" s="23">
        <f t="shared" si="105"/>
        <v>18197.654061917459</v>
      </c>
      <c r="D328" s="23">
        <f t="shared" si="106"/>
        <v>79.614736520888727</v>
      </c>
      <c r="E328" s="23">
        <f t="shared" si="107"/>
        <v>375.95331774617733</v>
      </c>
      <c r="F328" s="24">
        <f t="shared" si="108"/>
        <v>0</v>
      </c>
      <c r="G328" s="23">
        <f t="shared" si="109"/>
        <v>0</v>
      </c>
      <c r="H328" s="24"/>
      <c r="I328" s="23">
        <f t="shared" si="110"/>
        <v>0</v>
      </c>
      <c r="J328" s="23">
        <f t="shared" si="111"/>
        <v>375.95331774617733</v>
      </c>
      <c r="K328" s="23">
        <f t="shared" si="112"/>
        <v>17821.700744171281</v>
      </c>
      <c r="L328" s="23">
        <f t="shared" si="113"/>
        <v>455.56805426706603</v>
      </c>
      <c r="M328" s="23">
        <f t="shared" si="100"/>
        <v>0</v>
      </c>
      <c r="N328" s="23">
        <f t="shared" si="101"/>
        <v>23.884420956266617</v>
      </c>
      <c r="O328" s="23">
        <f t="shared" si="102"/>
        <v>431.68363331079939</v>
      </c>
      <c r="P328" s="23">
        <f t="shared" si="103"/>
        <v>55.73031556462206</v>
      </c>
      <c r="Q328" s="23">
        <f t="shared" si="122"/>
        <v>237877.90753128543</v>
      </c>
      <c r="R328" s="25">
        <f t="shared" si="123"/>
        <v>4625.8882688815402</v>
      </c>
    </row>
    <row r="329" spans="2:18" x14ac:dyDescent="0.25">
      <c r="B329" s="22">
        <f t="shared" si="104"/>
        <v>318</v>
      </c>
      <c r="C329" s="23">
        <f t="shared" si="105"/>
        <v>17821.700744171281</v>
      </c>
      <c r="D329" s="23">
        <f t="shared" si="106"/>
        <v>77.969940755749192</v>
      </c>
      <c r="E329" s="23">
        <f t="shared" si="107"/>
        <v>377.59811351131691</v>
      </c>
      <c r="F329" s="24">
        <f t="shared" si="108"/>
        <v>0</v>
      </c>
      <c r="G329" s="23">
        <f t="shared" si="109"/>
        <v>0</v>
      </c>
      <c r="H329" s="24"/>
      <c r="I329" s="23">
        <f t="shared" si="110"/>
        <v>0</v>
      </c>
      <c r="J329" s="23">
        <f t="shared" si="111"/>
        <v>377.59811351131691</v>
      </c>
      <c r="K329" s="23">
        <f t="shared" si="112"/>
        <v>17444.102630659963</v>
      </c>
      <c r="L329" s="23">
        <f t="shared" si="113"/>
        <v>455.56805426706609</v>
      </c>
      <c r="M329" s="23">
        <f t="shared" si="100"/>
        <v>0</v>
      </c>
      <c r="N329" s="23">
        <f t="shared" si="101"/>
        <v>23.390982226724756</v>
      </c>
      <c r="O329" s="23">
        <f t="shared" si="102"/>
        <v>432.17707204034133</v>
      </c>
      <c r="P329" s="23">
        <f t="shared" si="103"/>
        <v>54.578958529024419</v>
      </c>
      <c r="Q329" s="23">
        <f t="shared" si="122"/>
        <v>237877.90753128543</v>
      </c>
      <c r="R329" s="25">
        <f t="shared" si="123"/>
        <v>4625.8882688815402</v>
      </c>
    </row>
    <row r="330" spans="2:18" x14ac:dyDescent="0.25">
      <c r="B330" s="22">
        <f t="shared" si="104"/>
        <v>319</v>
      </c>
      <c r="C330" s="23">
        <f t="shared" si="105"/>
        <v>17444.102630659963</v>
      </c>
      <c r="D330" s="23">
        <f t="shared" si="106"/>
        <v>76.317949009137195</v>
      </c>
      <c r="E330" s="23">
        <f t="shared" si="107"/>
        <v>379.25010525792896</v>
      </c>
      <c r="F330" s="24">
        <f t="shared" si="108"/>
        <v>0</v>
      </c>
      <c r="G330" s="23">
        <f t="shared" si="109"/>
        <v>0</v>
      </c>
      <c r="H330" s="24"/>
      <c r="I330" s="23">
        <f t="shared" si="110"/>
        <v>0</v>
      </c>
      <c r="J330" s="23">
        <f t="shared" si="111"/>
        <v>379.25010525792896</v>
      </c>
      <c r="K330" s="23">
        <f t="shared" si="112"/>
        <v>17064.852525402035</v>
      </c>
      <c r="L330" s="23">
        <f t="shared" si="113"/>
        <v>455.56805426706615</v>
      </c>
      <c r="M330" s="23">
        <f t="shared" si="100"/>
        <v>0</v>
      </c>
      <c r="N330" s="23">
        <f t="shared" si="101"/>
        <v>22.895384702741158</v>
      </c>
      <c r="O330" s="23">
        <f t="shared" si="102"/>
        <v>432.67266956432496</v>
      </c>
      <c r="P330" s="23">
        <f t="shared" si="103"/>
        <v>53.422564306395998</v>
      </c>
      <c r="Q330" s="23">
        <f t="shared" si="122"/>
        <v>237877.90753128543</v>
      </c>
      <c r="R330" s="25">
        <f t="shared" si="123"/>
        <v>4625.8882688815402</v>
      </c>
    </row>
    <row r="331" spans="2:18" x14ac:dyDescent="0.25">
      <c r="B331" s="22">
        <f t="shared" si="104"/>
        <v>320</v>
      </c>
      <c r="C331" s="23">
        <f t="shared" si="105"/>
        <v>17064.852525402035</v>
      </c>
      <c r="D331" s="23">
        <f t="shared" si="106"/>
        <v>74.658729798633757</v>
      </c>
      <c r="E331" s="23">
        <f t="shared" si="107"/>
        <v>380.90932446843243</v>
      </c>
      <c r="F331" s="24">
        <f t="shared" si="108"/>
        <v>0</v>
      </c>
      <c r="G331" s="23">
        <f t="shared" si="109"/>
        <v>0</v>
      </c>
      <c r="H331" s="24"/>
      <c r="I331" s="23">
        <f t="shared" si="110"/>
        <v>0</v>
      </c>
      <c r="J331" s="23">
        <f t="shared" si="111"/>
        <v>380.90932446843243</v>
      </c>
      <c r="K331" s="23">
        <f t="shared" si="112"/>
        <v>16683.943200933601</v>
      </c>
      <c r="L331" s="23">
        <f t="shared" si="113"/>
        <v>455.5680542670662</v>
      </c>
      <c r="M331" s="23">
        <f t="shared" si="100"/>
        <v>0</v>
      </c>
      <c r="N331" s="23">
        <f t="shared" si="101"/>
        <v>22.397618939590128</v>
      </c>
      <c r="O331" s="23">
        <f t="shared" si="102"/>
        <v>433.17043532747607</v>
      </c>
      <c r="P331" s="23">
        <f t="shared" si="103"/>
        <v>52.26111085904364</v>
      </c>
      <c r="Q331" s="23">
        <f t="shared" si="122"/>
        <v>237877.90753128543</v>
      </c>
      <c r="R331" s="25">
        <f t="shared" si="123"/>
        <v>4625.8882688815402</v>
      </c>
    </row>
    <row r="332" spans="2:18" x14ac:dyDescent="0.25">
      <c r="B332" s="22">
        <f t="shared" si="104"/>
        <v>321</v>
      </c>
      <c r="C332" s="23">
        <f t="shared" si="105"/>
        <v>16683.943200933601</v>
      </c>
      <c r="D332" s="23">
        <f t="shared" si="106"/>
        <v>72.992251504084351</v>
      </c>
      <c r="E332" s="23">
        <f t="shared" si="107"/>
        <v>382.57580276298177</v>
      </c>
      <c r="F332" s="24">
        <f t="shared" si="108"/>
        <v>0</v>
      </c>
      <c r="G332" s="23">
        <f t="shared" si="109"/>
        <v>0</v>
      </c>
      <c r="H332" s="24"/>
      <c r="I332" s="23">
        <f t="shared" si="110"/>
        <v>0</v>
      </c>
      <c r="J332" s="23">
        <f t="shared" si="111"/>
        <v>382.57580276298177</v>
      </c>
      <c r="K332" s="23">
        <f t="shared" si="112"/>
        <v>16301.36739817062</v>
      </c>
      <c r="L332" s="23">
        <f t="shared" si="113"/>
        <v>455.56805426706615</v>
      </c>
      <c r="M332" s="23">
        <f t="shared" ref="M332:M371" si="124">+$L$4</f>
        <v>0</v>
      </c>
      <c r="N332" s="23">
        <f t="shared" ref="N332:N371" si="125">(D332+F332)*0.3</f>
        <v>21.897675451225304</v>
      </c>
      <c r="O332" s="23">
        <f t="shared" ref="O332:O371" si="126">L332+M332-N332</f>
        <v>433.67037881584082</v>
      </c>
      <c r="P332" s="23">
        <f t="shared" ref="P332:P371" si="127">O332-E332+M332</f>
        <v>51.094576052859054</v>
      </c>
      <c r="Q332" s="23">
        <f t="shared" si="122"/>
        <v>237877.90753128543</v>
      </c>
      <c r="R332" s="25">
        <f t="shared" si="123"/>
        <v>4625.8882688815402</v>
      </c>
    </row>
    <row r="333" spans="2:18" x14ac:dyDescent="0.25">
      <c r="B333" s="22">
        <f t="shared" ref="B333:B396" si="128">+IF(K332&gt;1,IF(B332="","",B332+1),"")</f>
        <v>322</v>
      </c>
      <c r="C333" s="23">
        <f t="shared" ref="C333:C396" si="129">+IF(B333="","",K332)</f>
        <v>16301.36739817062</v>
      </c>
      <c r="D333" s="23">
        <f t="shared" ref="D333:D396" si="130">+IF(B333="",0,-IPMT($C$5/12,B333,$C$6,$C$7))</f>
        <v>71.318482366996321</v>
      </c>
      <c r="E333" s="23">
        <f t="shared" ref="E333:E396" si="131">+IF(B333="",0,-PPMT($C$5/12,B333,$C$6,$C$7))</f>
        <v>384.24957190006978</v>
      </c>
      <c r="F333" s="24">
        <f t="shared" ref="F333:F396" si="132">+IF(B333="",0,$G$4)</f>
        <v>0</v>
      </c>
      <c r="G333" s="23">
        <f t="shared" ref="G333:G396" si="133">+IF(B333="",0,IF(C333&lt;$C$4*0.8,0,$G$5))</f>
        <v>0</v>
      </c>
      <c r="H333" s="24"/>
      <c r="I333" s="23">
        <f t="shared" ref="I333:I371" si="134">0.35/100*$C$4/12*0</f>
        <v>0</v>
      </c>
      <c r="J333" s="23">
        <f t="shared" ref="J333:J396" si="135">+IF(B333="",0,E333+H333)</f>
        <v>384.24957190006978</v>
      </c>
      <c r="K333" s="23">
        <f t="shared" ref="K333:K396" si="136">+IF(B333="","",C333-J333)</f>
        <v>15917.117826270551</v>
      </c>
      <c r="L333" s="23">
        <f t="shared" ref="L333:L371" si="137">I333+H333+G333+F333+E333+D333</f>
        <v>455.56805426706609</v>
      </c>
      <c r="M333" s="23">
        <f t="shared" si="124"/>
        <v>0</v>
      </c>
      <c r="N333" s="23">
        <f t="shared" si="125"/>
        <v>21.395544710098896</v>
      </c>
      <c r="O333" s="23">
        <f t="shared" si="126"/>
        <v>434.17250955696721</v>
      </c>
      <c r="P333" s="23">
        <f t="shared" si="127"/>
        <v>49.922937656897432</v>
      </c>
      <c r="Q333" s="23">
        <f t="shared" si="122"/>
        <v>237877.90753128543</v>
      </c>
      <c r="R333" s="25">
        <f t="shared" si="123"/>
        <v>4625.8882688815402</v>
      </c>
    </row>
    <row r="334" spans="2:18" x14ac:dyDescent="0.25">
      <c r="B334" s="22">
        <f t="shared" si="128"/>
        <v>323</v>
      </c>
      <c r="C334" s="23">
        <f t="shared" si="129"/>
        <v>15917.117826270551</v>
      </c>
      <c r="D334" s="23">
        <f t="shared" si="130"/>
        <v>69.637390489933509</v>
      </c>
      <c r="E334" s="23">
        <f t="shared" si="131"/>
        <v>385.93066377713262</v>
      </c>
      <c r="F334" s="24">
        <f t="shared" si="132"/>
        <v>0</v>
      </c>
      <c r="G334" s="23">
        <f t="shared" si="133"/>
        <v>0</v>
      </c>
      <c r="H334" s="24"/>
      <c r="I334" s="23">
        <f t="shared" si="134"/>
        <v>0</v>
      </c>
      <c r="J334" s="23">
        <f t="shared" si="135"/>
        <v>385.93066377713262</v>
      </c>
      <c r="K334" s="23">
        <f t="shared" si="136"/>
        <v>15531.187162493417</v>
      </c>
      <c r="L334" s="23">
        <f t="shared" si="137"/>
        <v>455.56805426706615</v>
      </c>
      <c r="M334" s="23">
        <f t="shared" si="124"/>
        <v>0</v>
      </c>
      <c r="N334" s="23">
        <f t="shared" si="125"/>
        <v>20.891217146980051</v>
      </c>
      <c r="O334" s="23">
        <f t="shared" si="126"/>
        <v>434.67683712008608</v>
      </c>
      <c r="P334" s="23">
        <f t="shared" si="127"/>
        <v>48.746173342953455</v>
      </c>
      <c r="Q334" s="23">
        <f t="shared" si="122"/>
        <v>237877.90753128543</v>
      </c>
      <c r="R334" s="25">
        <f t="shared" si="123"/>
        <v>4625.8882688815402</v>
      </c>
    </row>
    <row r="335" spans="2:18" x14ac:dyDescent="0.25">
      <c r="B335" s="22">
        <f t="shared" si="128"/>
        <v>324</v>
      </c>
      <c r="C335" s="23">
        <f t="shared" si="129"/>
        <v>15531.187162493417</v>
      </c>
      <c r="D335" s="23">
        <f t="shared" si="130"/>
        <v>67.948943835908551</v>
      </c>
      <c r="E335" s="23">
        <f t="shared" si="131"/>
        <v>387.61911043115759</v>
      </c>
      <c r="F335" s="24">
        <f t="shared" si="132"/>
        <v>0</v>
      </c>
      <c r="G335" s="23">
        <f t="shared" si="133"/>
        <v>0</v>
      </c>
      <c r="H335" s="24"/>
      <c r="I335" s="23">
        <f t="shared" si="134"/>
        <v>0</v>
      </c>
      <c r="J335" s="23">
        <f t="shared" si="135"/>
        <v>387.61911043115759</v>
      </c>
      <c r="K335" s="23">
        <f t="shared" si="136"/>
        <v>15143.568052062259</v>
      </c>
      <c r="L335" s="23">
        <f t="shared" si="137"/>
        <v>455.56805426706615</v>
      </c>
      <c r="M335" s="23">
        <f t="shared" si="124"/>
        <v>0</v>
      </c>
      <c r="N335" s="23">
        <f t="shared" si="125"/>
        <v>20.384683150772563</v>
      </c>
      <c r="O335" s="23">
        <f t="shared" si="126"/>
        <v>435.18337111629359</v>
      </c>
      <c r="P335" s="23">
        <f t="shared" si="127"/>
        <v>47.564260685135991</v>
      </c>
      <c r="Q335" s="23">
        <f t="shared" si="122"/>
        <v>237877.90753128543</v>
      </c>
      <c r="R335" s="25">
        <f>$R$323 + ($R$323 * $S$5)</f>
        <v>4625.8882688815402</v>
      </c>
    </row>
    <row r="336" spans="2:18" x14ac:dyDescent="0.25">
      <c r="B336" s="22">
        <f t="shared" si="128"/>
        <v>325</v>
      </c>
      <c r="C336" s="23">
        <f t="shared" si="129"/>
        <v>15143.568052062259</v>
      </c>
      <c r="D336" s="23">
        <f t="shared" si="130"/>
        <v>66.25311022777224</v>
      </c>
      <c r="E336" s="23">
        <f t="shared" si="131"/>
        <v>389.31494403929389</v>
      </c>
      <c r="F336" s="24">
        <f t="shared" si="132"/>
        <v>0</v>
      </c>
      <c r="G336" s="23">
        <f t="shared" si="133"/>
        <v>0</v>
      </c>
      <c r="H336" s="24"/>
      <c r="I336" s="23">
        <f t="shared" si="134"/>
        <v>0</v>
      </c>
      <c r="J336" s="23">
        <f t="shared" si="135"/>
        <v>389.31494403929389</v>
      </c>
      <c r="K336" s="23">
        <f t="shared" si="136"/>
        <v>14754.253108022966</v>
      </c>
      <c r="L336" s="23">
        <f t="shared" si="137"/>
        <v>455.56805426706615</v>
      </c>
      <c r="M336" s="23">
        <f t="shared" si="124"/>
        <v>0</v>
      </c>
      <c r="N336" s="23">
        <f t="shared" si="125"/>
        <v>19.875933068331673</v>
      </c>
      <c r="O336" s="23">
        <f t="shared" si="126"/>
        <v>435.69212119873447</v>
      </c>
      <c r="P336" s="23">
        <f t="shared" si="127"/>
        <v>46.377177159440578</v>
      </c>
      <c r="Q336" s="23">
        <f>$Q$335+ $Q$335*$L$8</f>
        <v>247393.02383253686</v>
      </c>
      <c r="R336" s="25">
        <f>$R$335 + ($R$335 * $S$5)</f>
        <v>4764.6649169479861</v>
      </c>
    </row>
    <row r="337" spans="2:18" x14ac:dyDescent="0.25">
      <c r="B337" s="22">
        <f t="shared" si="128"/>
        <v>326</v>
      </c>
      <c r="C337" s="23">
        <f t="shared" si="129"/>
        <v>14754.253108022966</v>
      </c>
      <c r="D337" s="23">
        <f t="shared" si="130"/>
        <v>64.549857347600323</v>
      </c>
      <c r="E337" s="23">
        <f t="shared" si="131"/>
        <v>391.01819691946582</v>
      </c>
      <c r="F337" s="24">
        <f t="shared" si="132"/>
        <v>0</v>
      </c>
      <c r="G337" s="23">
        <f t="shared" si="133"/>
        <v>0</v>
      </c>
      <c r="H337" s="24"/>
      <c r="I337" s="23">
        <f t="shared" si="134"/>
        <v>0</v>
      </c>
      <c r="J337" s="23">
        <f t="shared" si="135"/>
        <v>391.01819691946582</v>
      </c>
      <c r="K337" s="23">
        <f t="shared" si="136"/>
        <v>14363.2349111035</v>
      </c>
      <c r="L337" s="23">
        <f t="shared" si="137"/>
        <v>455.56805426706615</v>
      </c>
      <c r="M337" s="23">
        <f t="shared" si="124"/>
        <v>0</v>
      </c>
      <c r="N337" s="23">
        <f t="shared" si="125"/>
        <v>19.364957204280095</v>
      </c>
      <c r="O337" s="23">
        <f t="shared" si="126"/>
        <v>436.20309706278607</v>
      </c>
      <c r="P337" s="23">
        <f t="shared" si="127"/>
        <v>45.184900143320249</v>
      </c>
      <c r="Q337" s="23">
        <f t="shared" ref="Q337:Q347" si="138">$Q$335+ $Q$335*$L$8</f>
        <v>247393.02383253686</v>
      </c>
      <c r="R337" s="25">
        <f t="shared" ref="R337:R347" si="139">$R$335 + ($R$335 * $S$5)</f>
        <v>4764.6649169479861</v>
      </c>
    </row>
    <row r="338" spans="2:18" x14ac:dyDescent="0.25">
      <c r="B338" s="22">
        <f t="shared" si="128"/>
        <v>327</v>
      </c>
      <c r="C338" s="23">
        <f t="shared" si="129"/>
        <v>14363.2349111035</v>
      </c>
      <c r="D338" s="23">
        <f t="shared" si="130"/>
        <v>62.839152736077665</v>
      </c>
      <c r="E338" s="23">
        <f t="shared" si="131"/>
        <v>392.72890153098842</v>
      </c>
      <c r="F338" s="24">
        <f t="shared" si="132"/>
        <v>0</v>
      </c>
      <c r="G338" s="23">
        <f t="shared" si="133"/>
        <v>0</v>
      </c>
      <c r="H338" s="24"/>
      <c r="I338" s="23">
        <f t="shared" si="134"/>
        <v>0</v>
      </c>
      <c r="J338" s="23">
        <f t="shared" si="135"/>
        <v>392.72890153098842</v>
      </c>
      <c r="K338" s="23">
        <f t="shared" si="136"/>
        <v>13970.506009572511</v>
      </c>
      <c r="L338" s="23">
        <f t="shared" si="137"/>
        <v>455.56805426706609</v>
      </c>
      <c r="M338" s="23">
        <f t="shared" si="124"/>
        <v>0</v>
      </c>
      <c r="N338" s="23">
        <f t="shared" si="125"/>
        <v>18.8517458208233</v>
      </c>
      <c r="O338" s="23">
        <f t="shared" si="126"/>
        <v>436.71630844624281</v>
      </c>
      <c r="P338" s="23">
        <f t="shared" si="127"/>
        <v>43.987406915254383</v>
      </c>
      <c r="Q338" s="23">
        <f t="shared" si="138"/>
        <v>247393.02383253686</v>
      </c>
      <c r="R338" s="25">
        <f t="shared" si="139"/>
        <v>4764.6649169479861</v>
      </c>
    </row>
    <row r="339" spans="2:18" x14ac:dyDescent="0.25">
      <c r="B339" s="22">
        <f t="shared" si="128"/>
        <v>328</v>
      </c>
      <c r="C339" s="23">
        <f t="shared" si="129"/>
        <v>13970.506009572511</v>
      </c>
      <c r="D339" s="23">
        <f t="shared" si="130"/>
        <v>61.120963791879589</v>
      </c>
      <c r="E339" s="23">
        <f t="shared" si="131"/>
        <v>394.44709047518654</v>
      </c>
      <c r="F339" s="24">
        <f t="shared" si="132"/>
        <v>0</v>
      </c>
      <c r="G339" s="23">
        <f t="shared" si="133"/>
        <v>0</v>
      </c>
      <c r="H339" s="24"/>
      <c r="I339" s="23">
        <f t="shared" si="134"/>
        <v>0</v>
      </c>
      <c r="J339" s="23">
        <f t="shared" si="135"/>
        <v>394.44709047518654</v>
      </c>
      <c r="K339" s="23">
        <f t="shared" si="136"/>
        <v>13576.058919097324</v>
      </c>
      <c r="L339" s="23">
        <f t="shared" si="137"/>
        <v>455.56805426706615</v>
      </c>
      <c r="M339" s="23">
        <f t="shared" si="124"/>
        <v>0</v>
      </c>
      <c r="N339" s="23">
        <f t="shared" si="125"/>
        <v>18.336289137563877</v>
      </c>
      <c r="O339" s="23">
        <f t="shared" si="126"/>
        <v>437.23176512950226</v>
      </c>
      <c r="P339" s="23">
        <f t="shared" si="127"/>
        <v>42.784674654315722</v>
      </c>
      <c r="Q339" s="23">
        <f t="shared" si="138"/>
        <v>247393.02383253686</v>
      </c>
      <c r="R339" s="25">
        <f t="shared" si="139"/>
        <v>4764.6649169479861</v>
      </c>
    </row>
    <row r="340" spans="2:18" x14ac:dyDescent="0.25">
      <c r="B340" s="22">
        <f t="shared" si="128"/>
        <v>329</v>
      </c>
      <c r="C340" s="23">
        <f t="shared" si="129"/>
        <v>13576.058919097324</v>
      </c>
      <c r="D340" s="23">
        <f t="shared" si="130"/>
        <v>59.395257771050652</v>
      </c>
      <c r="E340" s="23">
        <f t="shared" si="131"/>
        <v>396.17279649601545</v>
      </c>
      <c r="F340" s="24">
        <f t="shared" si="132"/>
        <v>0</v>
      </c>
      <c r="G340" s="23">
        <f t="shared" si="133"/>
        <v>0</v>
      </c>
      <c r="H340" s="24"/>
      <c r="I340" s="23">
        <f t="shared" si="134"/>
        <v>0</v>
      </c>
      <c r="J340" s="23">
        <f t="shared" si="135"/>
        <v>396.17279649601545</v>
      </c>
      <c r="K340" s="23">
        <f t="shared" si="136"/>
        <v>13179.886122601309</v>
      </c>
      <c r="L340" s="23">
        <f t="shared" si="137"/>
        <v>455.56805426706609</v>
      </c>
      <c r="M340" s="23">
        <f t="shared" si="124"/>
        <v>0</v>
      </c>
      <c r="N340" s="23">
        <f t="shared" si="125"/>
        <v>17.818577331315193</v>
      </c>
      <c r="O340" s="23">
        <f t="shared" si="126"/>
        <v>437.74947693575092</v>
      </c>
      <c r="P340" s="23">
        <f t="shared" si="127"/>
        <v>41.576680439735469</v>
      </c>
      <c r="Q340" s="23">
        <f t="shared" si="138"/>
        <v>247393.02383253686</v>
      </c>
      <c r="R340" s="25">
        <f t="shared" si="139"/>
        <v>4764.6649169479861</v>
      </c>
    </row>
    <row r="341" spans="2:18" x14ac:dyDescent="0.25">
      <c r="B341" s="22">
        <f t="shared" si="128"/>
        <v>330</v>
      </c>
      <c r="C341" s="23">
        <f t="shared" si="129"/>
        <v>13179.886122601309</v>
      </c>
      <c r="D341" s="23">
        <f t="shared" si="130"/>
        <v>57.662001786380578</v>
      </c>
      <c r="E341" s="23">
        <f t="shared" si="131"/>
        <v>397.9060524806855</v>
      </c>
      <c r="F341" s="24">
        <f t="shared" si="132"/>
        <v>0</v>
      </c>
      <c r="G341" s="23">
        <f t="shared" si="133"/>
        <v>0</v>
      </c>
      <c r="H341" s="24"/>
      <c r="I341" s="23">
        <f t="shared" si="134"/>
        <v>0</v>
      </c>
      <c r="J341" s="23">
        <f t="shared" si="135"/>
        <v>397.9060524806855</v>
      </c>
      <c r="K341" s="23">
        <f t="shared" si="136"/>
        <v>12781.980070120622</v>
      </c>
      <c r="L341" s="23">
        <f t="shared" si="137"/>
        <v>455.56805426706609</v>
      </c>
      <c r="M341" s="23">
        <f t="shared" si="124"/>
        <v>0</v>
      </c>
      <c r="N341" s="23">
        <f t="shared" si="125"/>
        <v>17.298600535914172</v>
      </c>
      <c r="O341" s="23">
        <f t="shared" si="126"/>
        <v>438.26945373115194</v>
      </c>
      <c r="P341" s="23">
        <f t="shared" si="127"/>
        <v>40.363401250466438</v>
      </c>
      <c r="Q341" s="23">
        <f t="shared" si="138"/>
        <v>247393.02383253686</v>
      </c>
      <c r="R341" s="25">
        <f t="shared" si="139"/>
        <v>4764.6649169479861</v>
      </c>
    </row>
    <row r="342" spans="2:18" x14ac:dyDescent="0.25">
      <c r="B342" s="22">
        <f t="shared" si="128"/>
        <v>331</v>
      </c>
      <c r="C342" s="23">
        <f t="shared" si="129"/>
        <v>12781.980070120622</v>
      </c>
      <c r="D342" s="23">
        <f t="shared" si="130"/>
        <v>55.921162806777573</v>
      </c>
      <c r="E342" s="23">
        <f t="shared" si="131"/>
        <v>399.64689146028854</v>
      </c>
      <c r="F342" s="24">
        <f t="shared" si="132"/>
        <v>0</v>
      </c>
      <c r="G342" s="23">
        <f t="shared" si="133"/>
        <v>0</v>
      </c>
      <c r="H342" s="24"/>
      <c r="I342" s="23">
        <f t="shared" si="134"/>
        <v>0</v>
      </c>
      <c r="J342" s="23">
        <f t="shared" si="135"/>
        <v>399.64689146028854</v>
      </c>
      <c r="K342" s="23">
        <f t="shared" si="136"/>
        <v>12382.333178660334</v>
      </c>
      <c r="L342" s="23">
        <f t="shared" si="137"/>
        <v>455.56805426706615</v>
      </c>
      <c r="M342" s="23">
        <f t="shared" si="124"/>
        <v>0</v>
      </c>
      <c r="N342" s="23">
        <f t="shared" si="125"/>
        <v>16.776348842033272</v>
      </c>
      <c r="O342" s="23">
        <f t="shared" si="126"/>
        <v>438.79170542503289</v>
      </c>
      <c r="P342" s="23">
        <f t="shared" si="127"/>
        <v>39.144813964744344</v>
      </c>
      <c r="Q342" s="23">
        <f t="shared" si="138"/>
        <v>247393.02383253686</v>
      </c>
      <c r="R342" s="25">
        <f t="shared" si="139"/>
        <v>4764.6649169479861</v>
      </c>
    </row>
    <row r="343" spans="2:18" x14ac:dyDescent="0.25">
      <c r="B343" s="22">
        <f t="shared" si="128"/>
        <v>332</v>
      </c>
      <c r="C343" s="23">
        <f t="shared" si="129"/>
        <v>12382.333178660334</v>
      </c>
      <c r="D343" s="23">
        <f t="shared" si="130"/>
        <v>54.172707656638821</v>
      </c>
      <c r="E343" s="23">
        <f t="shared" si="131"/>
        <v>401.39534661042734</v>
      </c>
      <c r="F343" s="24">
        <f t="shared" si="132"/>
        <v>0</v>
      </c>
      <c r="G343" s="23">
        <f t="shared" si="133"/>
        <v>0</v>
      </c>
      <c r="H343" s="24"/>
      <c r="I343" s="23">
        <f t="shared" si="134"/>
        <v>0</v>
      </c>
      <c r="J343" s="23">
        <f t="shared" si="135"/>
        <v>401.39534661042734</v>
      </c>
      <c r="K343" s="23">
        <f t="shared" si="136"/>
        <v>11980.937832049907</v>
      </c>
      <c r="L343" s="23">
        <f t="shared" si="137"/>
        <v>455.56805426706615</v>
      </c>
      <c r="M343" s="23">
        <f t="shared" si="124"/>
        <v>0</v>
      </c>
      <c r="N343" s="23">
        <f t="shared" si="125"/>
        <v>16.251812296991645</v>
      </c>
      <c r="O343" s="23">
        <f t="shared" si="126"/>
        <v>439.31624197007449</v>
      </c>
      <c r="P343" s="23">
        <f t="shared" si="127"/>
        <v>37.920895359647147</v>
      </c>
      <c r="Q343" s="23">
        <f t="shared" si="138"/>
        <v>247393.02383253686</v>
      </c>
      <c r="R343" s="25">
        <f t="shared" si="139"/>
        <v>4764.6649169479861</v>
      </c>
    </row>
    <row r="344" spans="2:18" x14ac:dyDescent="0.25">
      <c r="B344" s="22">
        <f t="shared" si="128"/>
        <v>333</v>
      </c>
      <c r="C344" s="23">
        <f t="shared" si="129"/>
        <v>11980.937832049907</v>
      </c>
      <c r="D344" s="23">
        <f t="shared" si="130"/>
        <v>52.4166030152182</v>
      </c>
      <c r="E344" s="23">
        <f t="shared" si="131"/>
        <v>403.1514512518479</v>
      </c>
      <c r="F344" s="24">
        <f t="shared" si="132"/>
        <v>0</v>
      </c>
      <c r="G344" s="23">
        <f t="shared" si="133"/>
        <v>0</v>
      </c>
      <c r="H344" s="24"/>
      <c r="I344" s="23">
        <f t="shared" si="134"/>
        <v>0</v>
      </c>
      <c r="J344" s="23">
        <f t="shared" si="135"/>
        <v>403.1514512518479</v>
      </c>
      <c r="K344" s="23">
        <f t="shared" si="136"/>
        <v>11577.786380798059</v>
      </c>
      <c r="L344" s="23">
        <f t="shared" si="137"/>
        <v>455.56805426706609</v>
      </c>
      <c r="M344" s="23">
        <f t="shared" si="124"/>
        <v>0</v>
      </c>
      <c r="N344" s="23">
        <f t="shared" si="125"/>
        <v>15.724980904565459</v>
      </c>
      <c r="O344" s="23">
        <f t="shared" si="126"/>
        <v>439.8430733625006</v>
      </c>
      <c r="P344" s="23">
        <f t="shared" si="127"/>
        <v>36.691622110652702</v>
      </c>
      <c r="Q344" s="23">
        <f t="shared" si="138"/>
        <v>247393.02383253686</v>
      </c>
      <c r="R344" s="25">
        <f t="shared" si="139"/>
        <v>4764.6649169479861</v>
      </c>
    </row>
    <row r="345" spans="2:18" x14ac:dyDescent="0.25">
      <c r="B345" s="22">
        <f t="shared" si="128"/>
        <v>334</v>
      </c>
      <c r="C345" s="23">
        <f t="shared" si="129"/>
        <v>11577.786380798059</v>
      </c>
      <c r="D345" s="23">
        <f t="shared" si="130"/>
        <v>50.65281541599137</v>
      </c>
      <c r="E345" s="23">
        <f t="shared" si="131"/>
        <v>404.91523885107472</v>
      </c>
      <c r="F345" s="24">
        <f t="shared" si="132"/>
        <v>0</v>
      </c>
      <c r="G345" s="23">
        <f t="shared" si="133"/>
        <v>0</v>
      </c>
      <c r="H345" s="24"/>
      <c r="I345" s="23">
        <f t="shared" si="134"/>
        <v>0</v>
      </c>
      <c r="J345" s="23">
        <f t="shared" si="135"/>
        <v>404.91523885107472</v>
      </c>
      <c r="K345" s="23">
        <f t="shared" si="136"/>
        <v>11172.871141946984</v>
      </c>
      <c r="L345" s="23">
        <f t="shared" si="137"/>
        <v>455.56805426706609</v>
      </c>
      <c r="M345" s="23">
        <f t="shared" si="124"/>
        <v>0</v>
      </c>
      <c r="N345" s="23">
        <f t="shared" si="125"/>
        <v>15.195844624797409</v>
      </c>
      <c r="O345" s="23">
        <f t="shared" si="126"/>
        <v>440.37220964226867</v>
      </c>
      <c r="P345" s="23">
        <f t="shared" si="127"/>
        <v>35.456970791193953</v>
      </c>
      <c r="Q345" s="23">
        <f t="shared" si="138"/>
        <v>247393.02383253686</v>
      </c>
      <c r="R345" s="25">
        <f t="shared" si="139"/>
        <v>4764.6649169479861</v>
      </c>
    </row>
    <row r="346" spans="2:18" x14ac:dyDescent="0.25">
      <c r="B346" s="22">
        <f t="shared" si="128"/>
        <v>335</v>
      </c>
      <c r="C346" s="23">
        <f t="shared" si="129"/>
        <v>11172.871141946984</v>
      </c>
      <c r="D346" s="23">
        <f t="shared" si="130"/>
        <v>48.881311246017916</v>
      </c>
      <c r="E346" s="23">
        <f t="shared" si="131"/>
        <v>406.68674302104824</v>
      </c>
      <c r="F346" s="24">
        <f t="shared" si="132"/>
        <v>0</v>
      </c>
      <c r="G346" s="23">
        <f t="shared" si="133"/>
        <v>0</v>
      </c>
      <c r="H346" s="24"/>
      <c r="I346" s="23">
        <f t="shared" si="134"/>
        <v>0</v>
      </c>
      <c r="J346" s="23">
        <f t="shared" si="135"/>
        <v>406.68674302104824</v>
      </c>
      <c r="K346" s="23">
        <f t="shared" si="136"/>
        <v>10766.184398925936</v>
      </c>
      <c r="L346" s="23">
        <f t="shared" si="137"/>
        <v>455.56805426706615</v>
      </c>
      <c r="M346" s="23">
        <f t="shared" si="124"/>
        <v>0</v>
      </c>
      <c r="N346" s="23">
        <f t="shared" si="125"/>
        <v>14.664393373805375</v>
      </c>
      <c r="O346" s="23">
        <f t="shared" si="126"/>
        <v>440.90366089326079</v>
      </c>
      <c r="P346" s="23">
        <f t="shared" si="127"/>
        <v>34.216917872212548</v>
      </c>
      <c r="Q346" s="23">
        <f t="shared" si="138"/>
        <v>247393.02383253686</v>
      </c>
      <c r="R346" s="25">
        <f t="shared" si="139"/>
        <v>4764.6649169479861</v>
      </c>
    </row>
    <row r="347" spans="2:18" x14ac:dyDescent="0.25">
      <c r="B347" s="22">
        <f t="shared" si="128"/>
        <v>336</v>
      </c>
      <c r="C347" s="23">
        <f t="shared" si="129"/>
        <v>10766.184398925936</v>
      </c>
      <c r="D347" s="23">
        <f t="shared" si="130"/>
        <v>47.102056745300828</v>
      </c>
      <c r="E347" s="23">
        <f t="shared" si="131"/>
        <v>408.4659975217653</v>
      </c>
      <c r="F347" s="24">
        <f t="shared" si="132"/>
        <v>0</v>
      </c>
      <c r="G347" s="23">
        <f t="shared" si="133"/>
        <v>0</v>
      </c>
      <c r="H347" s="24"/>
      <c r="I347" s="23">
        <f t="shared" si="134"/>
        <v>0</v>
      </c>
      <c r="J347" s="23">
        <f t="shared" si="135"/>
        <v>408.4659975217653</v>
      </c>
      <c r="K347" s="23">
        <f t="shared" si="136"/>
        <v>10357.71840140417</v>
      </c>
      <c r="L347" s="23">
        <f t="shared" si="137"/>
        <v>455.56805426706615</v>
      </c>
      <c r="M347" s="23">
        <f t="shared" si="124"/>
        <v>0</v>
      </c>
      <c r="N347" s="23">
        <f t="shared" si="125"/>
        <v>14.130617023590249</v>
      </c>
      <c r="O347" s="23">
        <f t="shared" si="126"/>
        <v>441.43743724347587</v>
      </c>
      <c r="P347" s="23">
        <f t="shared" si="127"/>
        <v>32.971439721710567</v>
      </c>
      <c r="Q347" s="23">
        <f t="shared" si="138"/>
        <v>247393.02383253686</v>
      </c>
      <c r="R347" s="25">
        <f t="shared" si="139"/>
        <v>4764.6649169479861</v>
      </c>
    </row>
    <row r="348" spans="2:18" x14ac:dyDescent="0.25">
      <c r="B348" s="22">
        <f t="shared" si="128"/>
        <v>337</v>
      </c>
      <c r="C348" s="23">
        <f t="shared" si="129"/>
        <v>10357.71840140417</v>
      </c>
      <c r="D348" s="23">
        <f t="shared" si="130"/>
        <v>45.315018006143106</v>
      </c>
      <c r="E348" s="23">
        <f t="shared" si="131"/>
        <v>410.25303626092301</v>
      </c>
      <c r="F348" s="24">
        <f t="shared" si="132"/>
        <v>0</v>
      </c>
      <c r="G348" s="23">
        <f t="shared" si="133"/>
        <v>0</v>
      </c>
      <c r="H348" s="24"/>
      <c r="I348" s="23">
        <f t="shared" si="134"/>
        <v>0</v>
      </c>
      <c r="J348" s="23">
        <f t="shared" si="135"/>
        <v>410.25303626092301</v>
      </c>
      <c r="K348" s="23">
        <f t="shared" si="136"/>
        <v>9947.4653651432473</v>
      </c>
      <c r="L348" s="23">
        <f t="shared" si="137"/>
        <v>455.56805426706615</v>
      </c>
      <c r="M348" s="23">
        <f t="shared" si="124"/>
        <v>0</v>
      </c>
      <c r="N348" s="23">
        <f t="shared" si="125"/>
        <v>13.594505401842932</v>
      </c>
      <c r="O348" s="23">
        <f t="shared" si="126"/>
        <v>441.97354886522322</v>
      </c>
      <c r="P348" s="23">
        <f t="shared" si="127"/>
        <v>31.720512604300211</v>
      </c>
      <c r="Q348" s="23">
        <f>$Q$347+ $Q$347*$L$8</f>
        <v>257288.74478583832</v>
      </c>
      <c r="R348" s="25">
        <f>$R$347 + ($R$347 * $S$5)</f>
        <v>4907.6048644564253</v>
      </c>
    </row>
    <row r="349" spans="2:18" x14ac:dyDescent="0.25">
      <c r="B349" s="22">
        <f t="shared" si="128"/>
        <v>338</v>
      </c>
      <c r="C349" s="23">
        <f t="shared" si="129"/>
        <v>9947.4653651432473</v>
      </c>
      <c r="D349" s="23">
        <f t="shared" si="130"/>
        <v>43.520160972501557</v>
      </c>
      <c r="E349" s="23">
        <f t="shared" si="131"/>
        <v>412.04789329456457</v>
      </c>
      <c r="F349" s="24">
        <f t="shared" si="132"/>
        <v>0</v>
      </c>
      <c r="G349" s="23">
        <f t="shared" si="133"/>
        <v>0</v>
      </c>
      <c r="H349" s="24"/>
      <c r="I349" s="23">
        <f t="shared" si="134"/>
        <v>0</v>
      </c>
      <c r="J349" s="23">
        <f t="shared" si="135"/>
        <v>412.04789329456457</v>
      </c>
      <c r="K349" s="23">
        <f t="shared" si="136"/>
        <v>9535.4174718486829</v>
      </c>
      <c r="L349" s="23">
        <f t="shared" si="137"/>
        <v>455.56805426706615</v>
      </c>
      <c r="M349" s="23">
        <f t="shared" si="124"/>
        <v>0</v>
      </c>
      <c r="N349" s="23">
        <f t="shared" si="125"/>
        <v>13.056048291750466</v>
      </c>
      <c r="O349" s="23">
        <f t="shared" si="126"/>
        <v>442.51200597531567</v>
      </c>
      <c r="P349" s="23">
        <f t="shared" si="127"/>
        <v>30.4641126807511</v>
      </c>
      <c r="Q349" s="23">
        <f t="shared" ref="Q349:Q359" si="140">$Q$347+ $Q$347*$L$8</f>
        <v>257288.74478583832</v>
      </c>
      <c r="R349" s="25">
        <f t="shared" ref="R349:R359" si="141">$R$347 + ($R$347 * $S$5)</f>
        <v>4907.6048644564253</v>
      </c>
    </row>
    <row r="350" spans="2:18" x14ac:dyDescent="0.25">
      <c r="B350" s="22">
        <f t="shared" si="128"/>
        <v>339</v>
      </c>
      <c r="C350" s="23">
        <f t="shared" si="129"/>
        <v>9535.4174718486829</v>
      </c>
      <c r="D350" s="23">
        <f t="shared" si="130"/>
        <v>41.717451439337843</v>
      </c>
      <c r="E350" s="23">
        <f t="shared" si="131"/>
        <v>413.85060282772832</v>
      </c>
      <c r="F350" s="24">
        <f t="shared" si="132"/>
        <v>0</v>
      </c>
      <c r="G350" s="23">
        <f t="shared" si="133"/>
        <v>0</v>
      </c>
      <c r="H350" s="24"/>
      <c r="I350" s="23">
        <f t="shared" si="134"/>
        <v>0</v>
      </c>
      <c r="J350" s="23">
        <f t="shared" si="135"/>
        <v>413.85060282772832</v>
      </c>
      <c r="K350" s="23">
        <f t="shared" si="136"/>
        <v>9121.566869020955</v>
      </c>
      <c r="L350" s="23">
        <f t="shared" si="137"/>
        <v>455.56805426706615</v>
      </c>
      <c r="M350" s="23">
        <f t="shared" si="124"/>
        <v>0</v>
      </c>
      <c r="N350" s="23">
        <f t="shared" si="125"/>
        <v>12.515235431801353</v>
      </c>
      <c r="O350" s="23">
        <f t="shared" si="126"/>
        <v>443.05281883526482</v>
      </c>
      <c r="P350" s="23">
        <f t="shared" si="127"/>
        <v>29.202216007536492</v>
      </c>
      <c r="Q350" s="23">
        <f t="shared" si="140"/>
        <v>257288.74478583832</v>
      </c>
      <c r="R350" s="25">
        <f t="shared" si="141"/>
        <v>4907.6048644564253</v>
      </c>
    </row>
    <row r="351" spans="2:18" x14ac:dyDescent="0.25">
      <c r="B351" s="22">
        <f t="shared" si="128"/>
        <v>340</v>
      </c>
      <c r="C351" s="23">
        <f t="shared" si="129"/>
        <v>9121.566869020955</v>
      </c>
      <c r="D351" s="23">
        <f t="shared" si="130"/>
        <v>39.906855051966531</v>
      </c>
      <c r="E351" s="23">
        <f t="shared" si="131"/>
        <v>415.66119921509966</v>
      </c>
      <c r="F351" s="24">
        <f t="shared" si="132"/>
        <v>0</v>
      </c>
      <c r="G351" s="23">
        <f t="shared" si="133"/>
        <v>0</v>
      </c>
      <c r="H351" s="24"/>
      <c r="I351" s="23">
        <f t="shared" si="134"/>
        <v>0</v>
      </c>
      <c r="J351" s="23">
        <f t="shared" si="135"/>
        <v>415.66119921509966</v>
      </c>
      <c r="K351" s="23">
        <f t="shared" si="136"/>
        <v>8705.9056698058557</v>
      </c>
      <c r="L351" s="23">
        <f t="shared" si="137"/>
        <v>455.5680542670662</v>
      </c>
      <c r="M351" s="23">
        <f t="shared" si="124"/>
        <v>0</v>
      </c>
      <c r="N351" s="23">
        <f t="shared" si="125"/>
        <v>11.972056515589959</v>
      </c>
      <c r="O351" s="23">
        <f t="shared" si="126"/>
        <v>443.59599775147626</v>
      </c>
      <c r="P351" s="23">
        <f t="shared" si="127"/>
        <v>27.934798536376604</v>
      </c>
      <c r="Q351" s="23">
        <f t="shared" si="140"/>
        <v>257288.74478583832</v>
      </c>
      <c r="R351" s="25">
        <f t="shared" si="141"/>
        <v>4907.6048644564253</v>
      </c>
    </row>
    <row r="352" spans="2:18" x14ac:dyDescent="0.25">
      <c r="B352" s="22">
        <f t="shared" si="128"/>
        <v>341</v>
      </c>
      <c r="C352" s="23">
        <f t="shared" si="129"/>
        <v>8705.9056698058557</v>
      </c>
      <c r="D352" s="23">
        <f t="shared" si="130"/>
        <v>38.088337305400472</v>
      </c>
      <c r="E352" s="23">
        <f t="shared" si="131"/>
        <v>417.4797169616657</v>
      </c>
      <c r="F352" s="24">
        <f t="shared" si="132"/>
        <v>0</v>
      </c>
      <c r="G352" s="23">
        <f t="shared" si="133"/>
        <v>0</v>
      </c>
      <c r="H352" s="24"/>
      <c r="I352" s="23">
        <f t="shared" si="134"/>
        <v>0</v>
      </c>
      <c r="J352" s="23">
        <f t="shared" si="135"/>
        <v>417.4797169616657</v>
      </c>
      <c r="K352" s="23">
        <f t="shared" si="136"/>
        <v>8288.4259528441908</v>
      </c>
      <c r="L352" s="23">
        <f t="shared" si="137"/>
        <v>455.56805426706615</v>
      </c>
      <c r="M352" s="23">
        <f t="shared" si="124"/>
        <v>0</v>
      </c>
      <c r="N352" s="23">
        <f t="shared" si="125"/>
        <v>11.426501191620142</v>
      </c>
      <c r="O352" s="23">
        <f t="shared" si="126"/>
        <v>444.14155307544598</v>
      </c>
      <c r="P352" s="23">
        <f t="shared" si="127"/>
        <v>26.661836113780282</v>
      </c>
      <c r="Q352" s="23">
        <f t="shared" si="140"/>
        <v>257288.74478583832</v>
      </c>
      <c r="R352" s="25">
        <f t="shared" si="141"/>
        <v>4907.6048644564253</v>
      </c>
    </row>
    <row r="353" spans="2:18" x14ac:dyDescent="0.25">
      <c r="B353" s="22">
        <f t="shared" si="128"/>
        <v>342</v>
      </c>
      <c r="C353" s="23">
        <f t="shared" si="129"/>
        <v>8288.4259528441908</v>
      </c>
      <c r="D353" s="23">
        <f t="shared" si="130"/>
        <v>36.261863543693188</v>
      </c>
      <c r="E353" s="23">
        <f t="shared" si="131"/>
        <v>419.30619072337294</v>
      </c>
      <c r="F353" s="24">
        <f t="shared" si="132"/>
        <v>0</v>
      </c>
      <c r="G353" s="23">
        <f t="shared" si="133"/>
        <v>0</v>
      </c>
      <c r="H353" s="24"/>
      <c r="I353" s="23">
        <f t="shared" si="134"/>
        <v>0</v>
      </c>
      <c r="J353" s="23">
        <f t="shared" si="135"/>
        <v>419.30619072337294</v>
      </c>
      <c r="K353" s="23">
        <f t="shared" si="136"/>
        <v>7869.1197621208175</v>
      </c>
      <c r="L353" s="23">
        <f t="shared" si="137"/>
        <v>455.56805426706615</v>
      </c>
      <c r="M353" s="23">
        <f t="shared" si="124"/>
        <v>0</v>
      </c>
      <c r="N353" s="23">
        <f t="shared" si="125"/>
        <v>10.878559063107955</v>
      </c>
      <c r="O353" s="23">
        <f t="shared" si="126"/>
        <v>444.68949520395819</v>
      </c>
      <c r="P353" s="23">
        <f t="shared" si="127"/>
        <v>25.383304480585252</v>
      </c>
      <c r="Q353" s="23">
        <f t="shared" si="140"/>
        <v>257288.74478583832</v>
      </c>
      <c r="R353" s="25">
        <f t="shared" si="141"/>
        <v>4907.6048644564253</v>
      </c>
    </row>
    <row r="354" spans="2:18" x14ac:dyDescent="0.25">
      <c r="B354" s="22">
        <f t="shared" si="128"/>
        <v>343</v>
      </c>
      <c r="C354" s="23">
        <f t="shared" si="129"/>
        <v>7869.1197621208175</v>
      </c>
      <c r="D354" s="23">
        <f t="shared" si="130"/>
        <v>34.427398959278428</v>
      </c>
      <c r="E354" s="23">
        <f t="shared" si="131"/>
        <v>421.14065530778771</v>
      </c>
      <c r="F354" s="24">
        <f t="shared" si="132"/>
        <v>0</v>
      </c>
      <c r="G354" s="23">
        <f t="shared" si="133"/>
        <v>0</v>
      </c>
      <c r="H354" s="24"/>
      <c r="I354" s="23">
        <f t="shared" si="134"/>
        <v>0</v>
      </c>
      <c r="J354" s="23">
        <f t="shared" si="135"/>
        <v>421.14065530778771</v>
      </c>
      <c r="K354" s="23">
        <f t="shared" si="136"/>
        <v>7447.9791068130298</v>
      </c>
      <c r="L354" s="23">
        <f t="shared" si="137"/>
        <v>455.56805426706615</v>
      </c>
      <c r="M354" s="23">
        <f t="shared" si="124"/>
        <v>0</v>
      </c>
      <c r="N354" s="23">
        <f t="shared" si="125"/>
        <v>10.328219687783529</v>
      </c>
      <c r="O354" s="23">
        <f t="shared" si="126"/>
        <v>445.23983457928261</v>
      </c>
      <c r="P354" s="23">
        <f t="shared" si="127"/>
        <v>24.099179271494904</v>
      </c>
      <c r="Q354" s="23">
        <f t="shared" si="140"/>
        <v>257288.74478583832</v>
      </c>
      <c r="R354" s="25">
        <f t="shared" si="141"/>
        <v>4907.6048644564253</v>
      </c>
    </row>
    <row r="355" spans="2:18" x14ac:dyDescent="0.25">
      <c r="B355" s="22">
        <f t="shared" si="128"/>
        <v>344</v>
      </c>
      <c r="C355" s="23">
        <f t="shared" si="129"/>
        <v>7447.9791068130298</v>
      </c>
      <c r="D355" s="23">
        <f t="shared" si="130"/>
        <v>32.58490859230686</v>
      </c>
      <c r="E355" s="23">
        <f t="shared" si="131"/>
        <v>422.98314567475927</v>
      </c>
      <c r="F355" s="24">
        <f t="shared" si="132"/>
        <v>0</v>
      </c>
      <c r="G355" s="23">
        <f t="shared" si="133"/>
        <v>0</v>
      </c>
      <c r="H355" s="24"/>
      <c r="I355" s="23">
        <f t="shared" si="134"/>
        <v>0</v>
      </c>
      <c r="J355" s="23">
        <f t="shared" si="135"/>
        <v>422.98314567475927</v>
      </c>
      <c r="K355" s="23">
        <f t="shared" si="136"/>
        <v>7024.995961138271</v>
      </c>
      <c r="L355" s="23">
        <f t="shared" si="137"/>
        <v>455.56805426706615</v>
      </c>
      <c r="M355" s="23">
        <f t="shared" si="124"/>
        <v>0</v>
      </c>
      <c r="N355" s="23">
        <f t="shared" si="125"/>
        <v>9.7754725776920584</v>
      </c>
      <c r="O355" s="23">
        <f t="shared" si="126"/>
        <v>445.79258168937406</v>
      </c>
      <c r="P355" s="23">
        <f t="shared" si="127"/>
        <v>22.809436014614789</v>
      </c>
      <c r="Q355" s="23">
        <f t="shared" si="140"/>
        <v>257288.74478583832</v>
      </c>
      <c r="R355" s="25">
        <f t="shared" si="141"/>
        <v>4907.6048644564253</v>
      </c>
    </row>
    <row r="356" spans="2:18" x14ac:dyDescent="0.25">
      <c r="B356" s="22">
        <f t="shared" si="128"/>
        <v>345</v>
      </c>
      <c r="C356" s="23">
        <f t="shared" si="129"/>
        <v>7024.995961138271</v>
      </c>
      <c r="D356" s="23">
        <f t="shared" si="130"/>
        <v>30.734357329979787</v>
      </c>
      <c r="E356" s="23">
        <f t="shared" si="131"/>
        <v>424.83369693708636</v>
      </c>
      <c r="F356" s="24">
        <f t="shared" si="132"/>
        <v>0</v>
      </c>
      <c r="G356" s="23">
        <f t="shared" si="133"/>
        <v>0</v>
      </c>
      <c r="H356" s="24"/>
      <c r="I356" s="23">
        <f t="shared" si="134"/>
        <v>0</v>
      </c>
      <c r="J356" s="23">
        <f t="shared" si="135"/>
        <v>424.83369693708636</v>
      </c>
      <c r="K356" s="23">
        <f t="shared" si="136"/>
        <v>6600.1622642011844</v>
      </c>
      <c r="L356" s="23">
        <f t="shared" si="137"/>
        <v>455.56805426706615</v>
      </c>
      <c r="M356" s="23">
        <f t="shared" si="124"/>
        <v>0</v>
      </c>
      <c r="N356" s="23">
        <f t="shared" si="125"/>
        <v>9.220307198993936</v>
      </c>
      <c r="O356" s="23">
        <f t="shared" si="126"/>
        <v>446.34774706807218</v>
      </c>
      <c r="P356" s="23">
        <f t="shared" si="127"/>
        <v>21.514050130985822</v>
      </c>
      <c r="Q356" s="23">
        <f t="shared" si="140"/>
        <v>257288.74478583832</v>
      </c>
      <c r="R356" s="25">
        <f t="shared" si="141"/>
        <v>4907.6048644564253</v>
      </c>
    </row>
    <row r="357" spans="2:18" x14ac:dyDescent="0.25">
      <c r="B357" s="22">
        <f t="shared" si="128"/>
        <v>346</v>
      </c>
      <c r="C357" s="23">
        <f t="shared" si="129"/>
        <v>6600.1622642011844</v>
      </c>
      <c r="D357" s="23">
        <f t="shared" si="130"/>
        <v>28.875709905880026</v>
      </c>
      <c r="E357" s="23">
        <f t="shared" si="131"/>
        <v>426.69234436118609</v>
      </c>
      <c r="F357" s="24">
        <f t="shared" si="132"/>
        <v>0</v>
      </c>
      <c r="G357" s="23">
        <f t="shared" si="133"/>
        <v>0</v>
      </c>
      <c r="H357" s="24"/>
      <c r="I357" s="23">
        <f t="shared" si="134"/>
        <v>0</v>
      </c>
      <c r="J357" s="23">
        <f t="shared" si="135"/>
        <v>426.69234436118609</v>
      </c>
      <c r="K357" s="23">
        <f t="shared" si="136"/>
        <v>6173.4699198399985</v>
      </c>
      <c r="L357" s="23">
        <f t="shared" si="137"/>
        <v>455.56805426706609</v>
      </c>
      <c r="M357" s="23">
        <f t="shared" si="124"/>
        <v>0</v>
      </c>
      <c r="N357" s="23">
        <f t="shared" si="125"/>
        <v>8.662712971764007</v>
      </c>
      <c r="O357" s="23">
        <f t="shared" si="126"/>
        <v>446.90534129530209</v>
      </c>
      <c r="P357" s="23">
        <f t="shared" si="127"/>
        <v>20.212996934116006</v>
      </c>
      <c r="Q357" s="23">
        <f t="shared" si="140"/>
        <v>257288.74478583832</v>
      </c>
      <c r="R357" s="25">
        <f t="shared" si="141"/>
        <v>4907.6048644564253</v>
      </c>
    </row>
    <row r="358" spans="2:18" x14ac:dyDescent="0.25">
      <c r="B358" s="22">
        <f t="shared" si="128"/>
        <v>347</v>
      </c>
      <c r="C358" s="23">
        <f t="shared" si="129"/>
        <v>6173.4699198399985</v>
      </c>
      <c r="D358" s="23">
        <f t="shared" si="130"/>
        <v>27.008930899299848</v>
      </c>
      <c r="E358" s="23">
        <f t="shared" si="131"/>
        <v>428.55912336776629</v>
      </c>
      <c r="F358" s="24">
        <f t="shared" si="132"/>
        <v>0</v>
      </c>
      <c r="G358" s="23">
        <f t="shared" si="133"/>
        <v>0</v>
      </c>
      <c r="H358" s="24"/>
      <c r="I358" s="23">
        <f t="shared" si="134"/>
        <v>0</v>
      </c>
      <c r="J358" s="23">
        <f t="shared" si="135"/>
        <v>428.55912336776629</v>
      </c>
      <c r="K358" s="23">
        <f t="shared" si="136"/>
        <v>5744.9107964722325</v>
      </c>
      <c r="L358" s="23">
        <f t="shared" si="137"/>
        <v>455.56805426706615</v>
      </c>
      <c r="M358" s="23">
        <f t="shared" si="124"/>
        <v>0</v>
      </c>
      <c r="N358" s="23">
        <f t="shared" si="125"/>
        <v>8.1026792697899541</v>
      </c>
      <c r="O358" s="23">
        <f t="shared" si="126"/>
        <v>447.46537499727617</v>
      </c>
      <c r="P358" s="23">
        <f t="shared" si="127"/>
        <v>18.906251629509882</v>
      </c>
      <c r="Q358" s="23">
        <f>$Q$347+ $Q$347*$L$8</f>
        <v>257288.74478583832</v>
      </c>
      <c r="R358" s="25">
        <f t="shared" si="141"/>
        <v>4907.6048644564253</v>
      </c>
    </row>
    <row r="359" spans="2:18" x14ac:dyDescent="0.25">
      <c r="B359" s="22">
        <f t="shared" si="128"/>
        <v>348</v>
      </c>
      <c r="C359" s="23">
        <f t="shared" si="129"/>
        <v>5744.9107964722325</v>
      </c>
      <c r="D359" s="23">
        <f t="shared" si="130"/>
        <v>25.133984734565868</v>
      </c>
      <c r="E359" s="23">
        <f t="shared" si="131"/>
        <v>430.4340695325003</v>
      </c>
      <c r="F359" s="24">
        <f t="shared" si="132"/>
        <v>0</v>
      </c>
      <c r="G359" s="23">
        <f t="shared" si="133"/>
        <v>0</v>
      </c>
      <c r="H359" s="24"/>
      <c r="I359" s="23">
        <f t="shared" si="134"/>
        <v>0</v>
      </c>
      <c r="J359" s="23">
        <f t="shared" si="135"/>
        <v>430.4340695325003</v>
      </c>
      <c r="K359" s="23">
        <f t="shared" si="136"/>
        <v>5314.4767269397325</v>
      </c>
      <c r="L359" s="23">
        <f t="shared" si="137"/>
        <v>455.56805426706615</v>
      </c>
      <c r="M359" s="23">
        <f t="shared" si="124"/>
        <v>0</v>
      </c>
      <c r="N359" s="23">
        <f t="shared" si="125"/>
        <v>7.5401954203697601</v>
      </c>
      <c r="O359" s="23">
        <f t="shared" si="126"/>
        <v>448.0278588466964</v>
      </c>
      <c r="P359" s="23">
        <f t="shared" si="127"/>
        <v>17.593789314196101</v>
      </c>
      <c r="Q359" s="23">
        <f t="shared" si="140"/>
        <v>257288.74478583832</v>
      </c>
      <c r="R359" s="25">
        <f t="shared" si="141"/>
        <v>4907.6048644564253</v>
      </c>
    </row>
    <row r="360" spans="2:18" x14ac:dyDescent="0.25">
      <c r="B360" s="22">
        <f t="shared" si="128"/>
        <v>349</v>
      </c>
      <c r="C360" s="23">
        <f t="shared" si="129"/>
        <v>5314.4767269397325</v>
      </c>
      <c r="D360" s="23">
        <f t="shared" si="130"/>
        <v>23.250835680361181</v>
      </c>
      <c r="E360" s="23">
        <f t="shared" si="131"/>
        <v>432.31721858670494</v>
      </c>
      <c r="F360" s="24">
        <f t="shared" si="132"/>
        <v>0</v>
      </c>
      <c r="G360" s="23">
        <f t="shared" si="133"/>
        <v>0</v>
      </c>
      <c r="H360" s="24"/>
      <c r="I360" s="23">
        <f t="shared" si="134"/>
        <v>0</v>
      </c>
      <c r="J360" s="23">
        <f t="shared" si="135"/>
        <v>432.31721858670494</v>
      </c>
      <c r="K360" s="23">
        <f t="shared" si="136"/>
        <v>4882.1595083530274</v>
      </c>
      <c r="L360" s="23">
        <f t="shared" si="137"/>
        <v>455.56805426706615</v>
      </c>
      <c r="M360" s="23">
        <f t="shared" si="124"/>
        <v>0</v>
      </c>
      <c r="N360" s="23">
        <f t="shared" si="125"/>
        <v>6.9752507041083538</v>
      </c>
      <c r="O360" s="23">
        <f t="shared" si="126"/>
        <v>448.59280356295778</v>
      </c>
      <c r="P360" s="23">
        <f t="shared" si="127"/>
        <v>16.275584976252844</v>
      </c>
      <c r="Q360" s="23">
        <f>$Q$359+ $Q$359*$L$8</f>
        <v>267580.29457727185</v>
      </c>
      <c r="R360" s="25">
        <f>$R$359 + ($R$359 * $S$5)</f>
        <v>5054.833010390118</v>
      </c>
    </row>
    <row r="361" spans="2:18" x14ac:dyDescent="0.25">
      <c r="B361" s="22">
        <f t="shared" si="128"/>
        <v>350</v>
      </c>
      <c r="C361" s="23">
        <f t="shared" si="129"/>
        <v>4882.1595083530274</v>
      </c>
      <c r="D361" s="23">
        <f t="shared" si="130"/>
        <v>21.35944784904434</v>
      </c>
      <c r="E361" s="23">
        <f t="shared" si="131"/>
        <v>434.20860641802182</v>
      </c>
      <c r="F361" s="24">
        <f t="shared" si="132"/>
        <v>0</v>
      </c>
      <c r="G361" s="23">
        <f t="shared" si="133"/>
        <v>0</v>
      </c>
      <c r="H361" s="24"/>
      <c r="I361" s="23">
        <f t="shared" si="134"/>
        <v>0</v>
      </c>
      <c r="J361" s="23">
        <f t="shared" si="135"/>
        <v>434.20860641802182</v>
      </c>
      <c r="K361" s="23">
        <f t="shared" si="136"/>
        <v>4447.9509019350053</v>
      </c>
      <c r="L361" s="23">
        <f t="shared" si="137"/>
        <v>455.56805426706615</v>
      </c>
      <c r="M361" s="23">
        <f t="shared" si="124"/>
        <v>0</v>
      </c>
      <c r="N361" s="23">
        <f t="shared" si="125"/>
        <v>6.4078343547133017</v>
      </c>
      <c r="O361" s="23">
        <f t="shared" si="126"/>
        <v>449.16021991235283</v>
      </c>
      <c r="P361" s="23">
        <f t="shared" si="127"/>
        <v>14.951613494331013</v>
      </c>
      <c r="Q361" s="23">
        <f t="shared" ref="Q361:Q371" si="142">$Q$359+ $Q$359*$L$8</f>
        <v>267580.29457727185</v>
      </c>
      <c r="R361" s="25">
        <f t="shared" ref="R361:R371" si="143">$R$359 + ($R$359 * $S$5)</f>
        <v>5054.833010390118</v>
      </c>
    </row>
    <row r="362" spans="2:18" x14ac:dyDescent="0.25">
      <c r="B362" s="22">
        <f t="shared" si="128"/>
        <v>351</v>
      </c>
      <c r="C362" s="23">
        <f t="shared" si="129"/>
        <v>4447.9509019350053</v>
      </c>
      <c r="D362" s="23">
        <f t="shared" si="130"/>
        <v>19.459785195965495</v>
      </c>
      <c r="E362" s="23">
        <f t="shared" si="131"/>
        <v>436.10826907110066</v>
      </c>
      <c r="F362" s="24">
        <f t="shared" si="132"/>
        <v>0</v>
      </c>
      <c r="G362" s="23">
        <f t="shared" si="133"/>
        <v>0</v>
      </c>
      <c r="H362" s="24"/>
      <c r="I362" s="23">
        <f t="shared" si="134"/>
        <v>0</v>
      </c>
      <c r="J362" s="23">
        <f t="shared" si="135"/>
        <v>436.10826907110066</v>
      </c>
      <c r="K362" s="23">
        <f t="shared" si="136"/>
        <v>4011.8426328639048</v>
      </c>
      <c r="L362" s="23">
        <f t="shared" si="137"/>
        <v>455.56805426706615</v>
      </c>
      <c r="M362" s="23">
        <f t="shared" si="124"/>
        <v>0</v>
      </c>
      <c r="N362" s="23">
        <f t="shared" si="125"/>
        <v>5.8379355587896482</v>
      </c>
      <c r="O362" s="23">
        <f t="shared" si="126"/>
        <v>449.73011870827651</v>
      </c>
      <c r="P362" s="23">
        <f t="shared" si="127"/>
        <v>13.621849637175842</v>
      </c>
      <c r="Q362" s="23">
        <f t="shared" si="142"/>
        <v>267580.29457727185</v>
      </c>
      <c r="R362" s="25">
        <f t="shared" si="143"/>
        <v>5054.833010390118</v>
      </c>
    </row>
    <row r="363" spans="2:18" x14ac:dyDescent="0.25">
      <c r="B363" s="22">
        <f t="shared" si="128"/>
        <v>352</v>
      </c>
      <c r="C363" s="23">
        <f t="shared" si="129"/>
        <v>4011.8426328639048</v>
      </c>
      <c r="D363" s="23">
        <f t="shared" si="130"/>
        <v>17.551811518779431</v>
      </c>
      <c r="E363" s="23">
        <f t="shared" si="131"/>
        <v>438.01624274828669</v>
      </c>
      <c r="F363" s="24">
        <f t="shared" si="132"/>
        <v>0</v>
      </c>
      <c r="G363" s="23">
        <f t="shared" si="133"/>
        <v>0</v>
      </c>
      <c r="H363" s="24"/>
      <c r="I363" s="23">
        <f t="shared" si="134"/>
        <v>0</v>
      </c>
      <c r="J363" s="23">
        <f t="shared" si="135"/>
        <v>438.01624274828669</v>
      </c>
      <c r="K363" s="23">
        <f t="shared" si="136"/>
        <v>3573.8263901156179</v>
      </c>
      <c r="L363" s="23">
        <f t="shared" si="137"/>
        <v>455.56805426706615</v>
      </c>
      <c r="M363" s="23">
        <f t="shared" si="124"/>
        <v>0</v>
      </c>
      <c r="N363" s="23">
        <f t="shared" si="125"/>
        <v>5.2655434556338294</v>
      </c>
      <c r="O363" s="23">
        <f t="shared" si="126"/>
        <v>450.30251081143234</v>
      </c>
      <c r="P363" s="23">
        <f t="shared" si="127"/>
        <v>12.286268063145656</v>
      </c>
      <c r="Q363" s="23">
        <f t="shared" si="142"/>
        <v>267580.29457727185</v>
      </c>
      <c r="R363" s="25">
        <f t="shared" si="143"/>
        <v>5054.833010390118</v>
      </c>
    </row>
    <row r="364" spans="2:18" x14ac:dyDescent="0.25">
      <c r="B364" s="22">
        <f t="shared" si="128"/>
        <v>353</v>
      </c>
      <c r="C364" s="23">
        <f t="shared" si="129"/>
        <v>3573.8263901156179</v>
      </c>
      <c r="D364" s="23">
        <f t="shared" si="130"/>
        <v>15.635490456755679</v>
      </c>
      <c r="E364" s="23">
        <f t="shared" si="131"/>
        <v>439.93256381031046</v>
      </c>
      <c r="F364" s="24">
        <f t="shared" si="132"/>
        <v>0</v>
      </c>
      <c r="G364" s="23">
        <f t="shared" si="133"/>
        <v>0</v>
      </c>
      <c r="H364" s="24"/>
      <c r="I364" s="23">
        <f t="shared" si="134"/>
        <v>0</v>
      </c>
      <c r="J364" s="23">
        <f t="shared" si="135"/>
        <v>439.93256381031046</v>
      </c>
      <c r="K364" s="23">
        <f t="shared" si="136"/>
        <v>3133.8938263053074</v>
      </c>
      <c r="L364" s="23">
        <f t="shared" si="137"/>
        <v>455.56805426706615</v>
      </c>
      <c r="M364" s="23">
        <f t="shared" si="124"/>
        <v>0</v>
      </c>
      <c r="N364" s="23">
        <f t="shared" si="125"/>
        <v>4.690647137026704</v>
      </c>
      <c r="O364" s="23">
        <f t="shared" si="126"/>
        <v>450.87740713003944</v>
      </c>
      <c r="P364" s="23">
        <f t="shared" si="127"/>
        <v>10.944843319728989</v>
      </c>
      <c r="Q364" s="23">
        <f t="shared" si="142"/>
        <v>267580.29457727185</v>
      </c>
      <c r="R364" s="25">
        <f t="shared" si="143"/>
        <v>5054.833010390118</v>
      </c>
    </row>
    <row r="365" spans="2:18" x14ac:dyDescent="0.25">
      <c r="B365" s="22">
        <f t="shared" si="128"/>
        <v>354</v>
      </c>
      <c r="C365" s="23">
        <f t="shared" si="129"/>
        <v>3133.8938263053074</v>
      </c>
      <c r="D365" s="23">
        <f t="shared" si="130"/>
        <v>13.710785490085572</v>
      </c>
      <c r="E365" s="23">
        <f t="shared" si="131"/>
        <v>441.85726877698056</v>
      </c>
      <c r="F365" s="24">
        <f t="shared" si="132"/>
        <v>0</v>
      </c>
      <c r="G365" s="23">
        <f t="shared" si="133"/>
        <v>0</v>
      </c>
      <c r="H365" s="24"/>
      <c r="I365" s="23">
        <f t="shared" si="134"/>
        <v>0</v>
      </c>
      <c r="J365" s="23">
        <f t="shared" si="135"/>
        <v>441.85726877698056</v>
      </c>
      <c r="K365" s="23">
        <f t="shared" si="136"/>
        <v>2692.0365575283267</v>
      </c>
      <c r="L365" s="23">
        <f t="shared" si="137"/>
        <v>455.56805426706615</v>
      </c>
      <c r="M365" s="23">
        <f t="shared" si="124"/>
        <v>0</v>
      </c>
      <c r="N365" s="23">
        <f t="shared" si="125"/>
        <v>4.1132356470256717</v>
      </c>
      <c r="O365" s="23">
        <f t="shared" si="126"/>
        <v>451.4548186200405</v>
      </c>
      <c r="P365" s="23">
        <f t="shared" si="127"/>
        <v>9.5975498430599373</v>
      </c>
      <c r="Q365" s="23">
        <f t="shared" si="142"/>
        <v>267580.29457727185</v>
      </c>
      <c r="R365" s="25">
        <f t="shared" si="143"/>
        <v>5054.833010390118</v>
      </c>
    </row>
    <row r="366" spans="2:18" x14ac:dyDescent="0.25">
      <c r="B366" s="22">
        <f t="shared" si="128"/>
        <v>355</v>
      </c>
      <c r="C366" s="23">
        <f t="shared" si="129"/>
        <v>2692.0365575283267</v>
      </c>
      <c r="D366" s="23">
        <f t="shared" si="130"/>
        <v>11.777659939186281</v>
      </c>
      <c r="E366" s="23">
        <f t="shared" si="131"/>
        <v>443.79039432787982</v>
      </c>
      <c r="F366" s="24">
        <f t="shared" si="132"/>
        <v>0</v>
      </c>
      <c r="G366" s="23">
        <f t="shared" si="133"/>
        <v>0</v>
      </c>
      <c r="H366" s="24"/>
      <c r="I366" s="23">
        <f t="shared" si="134"/>
        <v>0</v>
      </c>
      <c r="J366" s="23">
        <f t="shared" si="135"/>
        <v>443.79039432787982</v>
      </c>
      <c r="K366" s="23">
        <f t="shared" si="136"/>
        <v>2248.246163200447</v>
      </c>
      <c r="L366" s="23">
        <f t="shared" si="137"/>
        <v>455.56805426706609</v>
      </c>
      <c r="M366" s="23">
        <f t="shared" si="124"/>
        <v>0</v>
      </c>
      <c r="N366" s="23">
        <f t="shared" si="125"/>
        <v>3.5332979817558843</v>
      </c>
      <c r="O366" s="23">
        <f t="shared" si="126"/>
        <v>452.03475628531021</v>
      </c>
      <c r="P366" s="23">
        <f t="shared" si="127"/>
        <v>8.2443619574303852</v>
      </c>
      <c r="Q366" s="23">
        <f t="shared" si="142"/>
        <v>267580.29457727185</v>
      </c>
      <c r="R366" s="25">
        <f t="shared" si="143"/>
        <v>5054.833010390118</v>
      </c>
    </row>
    <row r="367" spans="2:18" x14ac:dyDescent="0.25">
      <c r="B367" s="22">
        <f t="shared" si="128"/>
        <v>356</v>
      </c>
      <c r="C367" s="23">
        <f t="shared" si="129"/>
        <v>2248.246163200447</v>
      </c>
      <c r="D367" s="23">
        <f t="shared" si="130"/>
        <v>9.8360769640018049</v>
      </c>
      <c r="E367" s="23">
        <f t="shared" si="131"/>
        <v>445.7319773030643</v>
      </c>
      <c r="F367" s="24">
        <f t="shared" si="132"/>
        <v>0</v>
      </c>
      <c r="G367" s="23">
        <f t="shared" si="133"/>
        <v>0</v>
      </c>
      <c r="H367" s="24"/>
      <c r="I367" s="23">
        <f t="shared" si="134"/>
        <v>0</v>
      </c>
      <c r="J367" s="23">
        <f t="shared" si="135"/>
        <v>445.7319773030643</v>
      </c>
      <c r="K367" s="23">
        <f t="shared" si="136"/>
        <v>1802.5141858973827</v>
      </c>
      <c r="L367" s="23">
        <f t="shared" si="137"/>
        <v>455.56805426706609</v>
      </c>
      <c r="M367" s="23">
        <f t="shared" si="124"/>
        <v>0</v>
      </c>
      <c r="N367" s="23">
        <f t="shared" si="125"/>
        <v>2.9508230892005414</v>
      </c>
      <c r="O367" s="23">
        <f t="shared" si="126"/>
        <v>452.61723117786556</v>
      </c>
      <c r="P367" s="23">
        <f t="shared" si="127"/>
        <v>6.8852538748012648</v>
      </c>
      <c r="Q367" s="23">
        <f t="shared" si="142"/>
        <v>267580.29457727185</v>
      </c>
      <c r="R367" s="25">
        <f t="shared" si="143"/>
        <v>5054.833010390118</v>
      </c>
    </row>
    <row r="368" spans="2:18" x14ac:dyDescent="0.25">
      <c r="B368" s="22">
        <f t="shared" si="128"/>
        <v>357</v>
      </c>
      <c r="C368" s="23">
        <f t="shared" si="129"/>
        <v>1802.5141858973827</v>
      </c>
      <c r="D368" s="23">
        <f t="shared" si="130"/>
        <v>7.8859995633008992</v>
      </c>
      <c r="E368" s="23">
        <f t="shared" si="131"/>
        <v>447.68205470376523</v>
      </c>
      <c r="F368" s="24">
        <f t="shared" si="132"/>
        <v>0</v>
      </c>
      <c r="G368" s="23">
        <f t="shared" si="133"/>
        <v>0</v>
      </c>
      <c r="H368" s="24"/>
      <c r="I368" s="23">
        <f t="shared" si="134"/>
        <v>0</v>
      </c>
      <c r="J368" s="23">
        <f t="shared" si="135"/>
        <v>447.68205470376523</v>
      </c>
      <c r="K368" s="23">
        <f t="shared" si="136"/>
        <v>1354.8321311936174</v>
      </c>
      <c r="L368" s="23">
        <f t="shared" si="137"/>
        <v>455.56805426706615</v>
      </c>
      <c r="M368" s="23">
        <f t="shared" si="124"/>
        <v>0</v>
      </c>
      <c r="N368" s="23">
        <f t="shared" si="125"/>
        <v>2.3657998689902695</v>
      </c>
      <c r="O368" s="23">
        <f t="shared" si="126"/>
        <v>453.20225439807587</v>
      </c>
      <c r="P368" s="23">
        <f t="shared" si="127"/>
        <v>5.5201996943106337</v>
      </c>
      <c r="Q368" s="23">
        <f t="shared" si="142"/>
        <v>267580.29457727185</v>
      </c>
      <c r="R368" s="25">
        <f t="shared" si="143"/>
        <v>5054.833010390118</v>
      </c>
    </row>
    <row r="369" spans="2:18" x14ac:dyDescent="0.25">
      <c r="B369" s="22">
        <f t="shared" si="128"/>
        <v>358</v>
      </c>
      <c r="C369" s="23">
        <f t="shared" si="129"/>
        <v>1354.8321311936174</v>
      </c>
      <c r="D369" s="23">
        <f t="shared" si="130"/>
        <v>5.9273905739719259</v>
      </c>
      <c r="E369" s="23">
        <f t="shared" si="131"/>
        <v>449.64066369309421</v>
      </c>
      <c r="F369" s="24">
        <f t="shared" si="132"/>
        <v>0</v>
      </c>
      <c r="G369" s="23">
        <f t="shared" si="133"/>
        <v>0</v>
      </c>
      <c r="H369" s="24"/>
      <c r="I369" s="23">
        <f t="shared" si="134"/>
        <v>0</v>
      </c>
      <c r="J369" s="23">
        <f t="shared" si="135"/>
        <v>449.64066369309421</v>
      </c>
      <c r="K369" s="23">
        <f t="shared" si="136"/>
        <v>905.19146750052323</v>
      </c>
      <c r="L369" s="23">
        <f t="shared" si="137"/>
        <v>455.56805426706615</v>
      </c>
      <c r="M369" s="23">
        <f t="shared" si="124"/>
        <v>0</v>
      </c>
      <c r="N369" s="23">
        <f t="shared" si="125"/>
        <v>1.7782171721915778</v>
      </c>
      <c r="O369" s="23">
        <f t="shared" si="126"/>
        <v>453.78983709487454</v>
      </c>
      <c r="P369" s="23">
        <f t="shared" si="127"/>
        <v>4.149173401780331</v>
      </c>
      <c r="Q369" s="23">
        <f t="shared" si="142"/>
        <v>267580.29457727185</v>
      </c>
      <c r="R369" s="25">
        <f t="shared" si="143"/>
        <v>5054.833010390118</v>
      </c>
    </row>
    <row r="370" spans="2:18" x14ac:dyDescent="0.25">
      <c r="B370" s="22">
        <f t="shared" si="128"/>
        <v>359</v>
      </c>
      <c r="C370" s="23">
        <f t="shared" si="129"/>
        <v>905.19146750052323</v>
      </c>
      <c r="D370" s="23">
        <f t="shared" si="130"/>
        <v>3.9602126703146379</v>
      </c>
      <c r="E370" s="23">
        <f t="shared" si="131"/>
        <v>451.60784159675148</v>
      </c>
      <c r="F370" s="24">
        <f t="shared" si="132"/>
        <v>0</v>
      </c>
      <c r="G370" s="23">
        <f t="shared" si="133"/>
        <v>0</v>
      </c>
      <c r="H370" s="24"/>
      <c r="I370" s="23">
        <f t="shared" si="134"/>
        <v>0</v>
      </c>
      <c r="J370" s="23">
        <f t="shared" si="135"/>
        <v>451.60784159675148</v>
      </c>
      <c r="K370" s="23">
        <f t="shared" si="136"/>
        <v>453.58362590377175</v>
      </c>
      <c r="L370" s="23">
        <f t="shared" si="137"/>
        <v>455.56805426706615</v>
      </c>
      <c r="M370" s="23">
        <f t="shared" si="124"/>
        <v>0</v>
      </c>
      <c r="N370" s="23">
        <f t="shared" si="125"/>
        <v>1.1880638010943914</v>
      </c>
      <c r="O370" s="23">
        <f t="shared" si="126"/>
        <v>454.37999046597173</v>
      </c>
      <c r="P370" s="23">
        <f t="shared" si="127"/>
        <v>2.7721488692202456</v>
      </c>
      <c r="Q370" s="23">
        <f t="shared" si="142"/>
        <v>267580.29457727185</v>
      </c>
      <c r="R370" s="25">
        <f t="shared" si="143"/>
        <v>5054.833010390118</v>
      </c>
    </row>
    <row r="371" spans="2:18" ht="15.75" thickBot="1" x14ac:dyDescent="0.3">
      <c r="B371" s="26">
        <f t="shared" si="128"/>
        <v>360</v>
      </c>
      <c r="C371" s="27">
        <f t="shared" si="129"/>
        <v>453.58362590377175</v>
      </c>
      <c r="D371" s="27">
        <f t="shared" si="130"/>
        <v>1.9844283633288506</v>
      </c>
      <c r="E371" s="27">
        <f t="shared" si="131"/>
        <v>453.5836259037373</v>
      </c>
      <c r="F371" s="28">
        <f t="shared" si="132"/>
        <v>0</v>
      </c>
      <c r="G371" s="27">
        <f t="shared" si="133"/>
        <v>0</v>
      </c>
      <c r="H371" s="28"/>
      <c r="I371" s="23">
        <f t="shared" si="134"/>
        <v>0</v>
      </c>
      <c r="J371" s="27">
        <f t="shared" si="135"/>
        <v>453.5836259037373</v>
      </c>
      <c r="K371" s="27">
        <f t="shared" si="136"/>
        <v>3.4447111829649657E-11</v>
      </c>
      <c r="L371" s="27">
        <f t="shared" si="137"/>
        <v>455.56805426706615</v>
      </c>
      <c r="M371" s="27">
        <f t="shared" si="124"/>
        <v>0</v>
      </c>
      <c r="N371" s="27">
        <f t="shared" si="125"/>
        <v>0.59532850899865519</v>
      </c>
      <c r="O371" s="27">
        <f t="shared" si="126"/>
        <v>454.9727257580675</v>
      </c>
      <c r="P371" s="27">
        <f t="shared" si="127"/>
        <v>1.3890998543301976</v>
      </c>
      <c r="Q371" s="27">
        <f t="shared" si="142"/>
        <v>267580.29457727185</v>
      </c>
      <c r="R371" s="29">
        <f t="shared" si="143"/>
        <v>5054.833010390118</v>
      </c>
    </row>
    <row r="372" spans="2:18" x14ac:dyDescent="0.25">
      <c r="B372" s="2" t="str">
        <f t="shared" si="128"/>
        <v/>
      </c>
      <c r="C372" s="30" t="str">
        <f t="shared" si="129"/>
        <v/>
      </c>
      <c r="D372" s="30">
        <f t="shared" si="130"/>
        <v>0</v>
      </c>
      <c r="E372" s="30">
        <f t="shared" si="131"/>
        <v>0</v>
      </c>
      <c r="F372" s="2">
        <f t="shared" si="132"/>
        <v>0</v>
      </c>
      <c r="G372" s="30">
        <f t="shared" si="133"/>
        <v>0</v>
      </c>
      <c r="J372" s="30">
        <f t="shared" si="135"/>
        <v>0</v>
      </c>
      <c r="K372" s="30" t="str">
        <f t="shared" si="136"/>
        <v/>
      </c>
      <c r="L372" s="30">
        <f t="shared" ref="L372:L435" si="144">+H372+G372+F372+E372+D372</f>
        <v>0</v>
      </c>
      <c r="M372" s="30"/>
    </row>
    <row r="373" spans="2:18" x14ac:dyDescent="0.25">
      <c r="B373" s="2" t="str">
        <f t="shared" si="128"/>
        <v/>
      </c>
      <c r="C373" s="30" t="str">
        <f t="shared" si="129"/>
        <v/>
      </c>
      <c r="D373" s="30">
        <f t="shared" si="130"/>
        <v>0</v>
      </c>
      <c r="E373" s="30">
        <f t="shared" si="131"/>
        <v>0</v>
      </c>
      <c r="F373" s="2">
        <f t="shared" si="132"/>
        <v>0</v>
      </c>
      <c r="G373" s="30">
        <f t="shared" si="133"/>
        <v>0</v>
      </c>
      <c r="J373" s="30">
        <f t="shared" si="135"/>
        <v>0</v>
      </c>
      <c r="K373" s="30" t="str">
        <f t="shared" si="136"/>
        <v/>
      </c>
      <c r="L373" s="30">
        <f t="shared" si="144"/>
        <v>0</v>
      </c>
      <c r="M373" s="30"/>
    </row>
    <row r="374" spans="2:18" x14ac:dyDescent="0.25">
      <c r="B374" s="2" t="str">
        <f t="shared" si="128"/>
        <v/>
      </c>
      <c r="C374" s="30" t="str">
        <f t="shared" si="129"/>
        <v/>
      </c>
      <c r="D374" s="30">
        <f t="shared" si="130"/>
        <v>0</v>
      </c>
      <c r="E374" s="30">
        <f t="shared" si="131"/>
        <v>0</v>
      </c>
      <c r="F374" s="2">
        <f t="shared" si="132"/>
        <v>0</v>
      </c>
      <c r="G374" s="30">
        <f t="shared" si="133"/>
        <v>0</v>
      </c>
      <c r="J374" s="30">
        <f t="shared" si="135"/>
        <v>0</v>
      </c>
      <c r="K374" s="30" t="str">
        <f t="shared" si="136"/>
        <v/>
      </c>
      <c r="L374" s="30">
        <f t="shared" si="144"/>
        <v>0</v>
      </c>
      <c r="M374" s="30"/>
    </row>
    <row r="375" spans="2:18" x14ac:dyDescent="0.25">
      <c r="B375" s="2" t="str">
        <f t="shared" si="128"/>
        <v/>
      </c>
      <c r="C375" s="30" t="str">
        <f t="shared" si="129"/>
        <v/>
      </c>
      <c r="D375" s="30">
        <f t="shared" si="130"/>
        <v>0</v>
      </c>
      <c r="E375" s="30">
        <f t="shared" si="131"/>
        <v>0</v>
      </c>
      <c r="F375" s="2">
        <f t="shared" si="132"/>
        <v>0</v>
      </c>
      <c r="G375" s="30">
        <f t="shared" si="133"/>
        <v>0</v>
      </c>
      <c r="J375" s="30">
        <f t="shared" si="135"/>
        <v>0</v>
      </c>
      <c r="K375" s="30" t="str">
        <f t="shared" si="136"/>
        <v/>
      </c>
      <c r="L375" s="30">
        <f t="shared" si="144"/>
        <v>0</v>
      </c>
      <c r="M375" s="30"/>
    </row>
    <row r="376" spans="2:18" x14ac:dyDescent="0.25">
      <c r="B376" s="2" t="str">
        <f t="shared" si="128"/>
        <v/>
      </c>
      <c r="C376" s="30" t="str">
        <f t="shared" si="129"/>
        <v/>
      </c>
      <c r="D376" s="30">
        <f t="shared" si="130"/>
        <v>0</v>
      </c>
      <c r="E376" s="30">
        <f t="shared" si="131"/>
        <v>0</v>
      </c>
      <c r="F376" s="2">
        <f t="shared" si="132"/>
        <v>0</v>
      </c>
      <c r="G376" s="30">
        <f t="shared" si="133"/>
        <v>0</v>
      </c>
      <c r="J376" s="30">
        <f t="shared" si="135"/>
        <v>0</v>
      </c>
      <c r="K376" s="30" t="str">
        <f t="shared" si="136"/>
        <v/>
      </c>
      <c r="L376" s="30">
        <f t="shared" si="144"/>
        <v>0</v>
      </c>
      <c r="M376" s="30"/>
    </row>
    <row r="377" spans="2:18" x14ac:dyDescent="0.25">
      <c r="B377" s="2" t="str">
        <f t="shared" si="128"/>
        <v/>
      </c>
      <c r="C377" s="30" t="str">
        <f t="shared" si="129"/>
        <v/>
      </c>
      <c r="D377" s="30">
        <f t="shared" si="130"/>
        <v>0</v>
      </c>
      <c r="E377" s="30">
        <f t="shared" si="131"/>
        <v>0</v>
      </c>
      <c r="F377" s="2">
        <f t="shared" si="132"/>
        <v>0</v>
      </c>
      <c r="G377" s="30">
        <f t="shared" si="133"/>
        <v>0</v>
      </c>
      <c r="J377" s="30">
        <f t="shared" si="135"/>
        <v>0</v>
      </c>
      <c r="K377" s="30" t="str">
        <f t="shared" si="136"/>
        <v/>
      </c>
      <c r="L377" s="30">
        <f t="shared" si="144"/>
        <v>0</v>
      </c>
      <c r="M377" s="30"/>
    </row>
    <row r="378" spans="2:18" x14ac:dyDescent="0.25">
      <c r="B378" s="2" t="str">
        <f t="shared" si="128"/>
        <v/>
      </c>
      <c r="C378" s="30" t="str">
        <f t="shared" si="129"/>
        <v/>
      </c>
      <c r="D378" s="30">
        <f t="shared" si="130"/>
        <v>0</v>
      </c>
      <c r="E378" s="30">
        <f t="shared" si="131"/>
        <v>0</v>
      </c>
      <c r="F378" s="2">
        <f t="shared" si="132"/>
        <v>0</v>
      </c>
      <c r="G378" s="30">
        <f t="shared" si="133"/>
        <v>0</v>
      </c>
      <c r="J378" s="30">
        <f t="shared" si="135"/>
        <v>0</v>
      </c>
      <c r="K378" s="30" t="str">
        <f t="shared" si="136"/>
        <v/>
      </c>
      <c r="L378" s="30">
        <f t="shared" si="144"/>
        <v>0</v>
      </c>
      <c r="M378" s="30"/>
    </row>
    <row r="379" spans="2:18" x14ac:dyDescent="0.25">
      <c r="B379" s="2" t="str">
        <f t="shared" si="128"/>
        <v/>
      </c>
      <c r="C379" s="30" t="str">
        <f t="shared" si="129"/>
        <v/>
      </c>
      <c r="D379" s="30">
        <f t="shared" si="130"/>
        <v>0</v>
      </c>
      <c r="E379" s="30">
        <f t="shared" si="131"/>
        <v>0</v>
      </c>
      <c r="F379" s="2">
        <f t="shared" si="132"/>
        <v>0</v>
      </c>
      <c r="G379" s="30">
        <f t="shared" si="133"/>
        <v>0</v>
      </c>
      <c r="J379" s="30">
        <f t="shared" si="135"/>
        <v>0</v>
      </c>
      <c r="K379" s="30" t="str">
        <f t="shared" si="136"/>
        <v/>
      </c>
      <c r="L379" s="30">
        <f t="shared" si="144"/>
        <v>0</v>
      </c>
      <c r="M379" s="30"/>
    </row>
    <row r="380" spans="2:18" x14ac:dyDescent="0.25">
      <c r="B380" s="2" t="str">
        <f t="shared" si="128"/>
        <v/>
      </c>
      <c r="C380" s="30" t="str">
        <f t="shared" si="129"/>
        <v/>
      </c>
      <c r="D380" s="30">
        <f t="shared" si="130"/>
        <v>0</v>
      </c>
      <c r="E380" s="30">
        <f t="shared" si="131"/>
        <v>0</v>
      </c>
      <c r="F380" s="2">
        <f t="shared" si="132"/>
        <v>0</v>
      </c>
      <c r="G380" s="30">
        <f t="shared" si="133"/>
        <v>0</v>
      </c>
      <c r="J380" s="30">
        <f t="shared" si="135"/>
        <v>0</v>
      </c>
      <c r="K380" s="30" t="str">
        <f t="shared" si="136"/>
        <v/>
      </c>
      <c r="L380" s="30">
        <f t="shared" si="144"/>
        <v>0</v>
      </c>
      <c r="M380" s="30"/>
    </row>
    <row r="381" spans="2:18" x14ac:dyDescent="0.25">
      <c r="B381" s="2" t="str">
        <f t="shared" si="128"/>
        <v/>
      </c>
      <c r="C381" s="30" t="str">
        <f t="shared" si="129"/>
        <v/>
      </c>
      <c r="D381" s="30">
        <f t="shared" si="130"/>
        <v>0</v>
      </c>
      <c r="E381" s="30">
        <f t="shared" si="131"/>
        <v>0</v>
      </c>
      <c r="F381" s="2">
        <f t="shared" si="132"/>
        <v>0</v>
      </c>
      <c r="G381" s="30">
        <f t="shared" si="133"/>
        <v>0</v>
      </c>
      <c r="J381" s="30">
        <f t="shared" si="135"/>
        <v>0</v>
      </c>
      <c r="K381" s="30" t="str">
        <f t="shared" si="136"/>
        <v/>
      </c>
      <c r="L381" s="30">
        <f t="shared" si="144"/>
        <v>0</v>
      </c>
      <c r="M381" s="30"/>
    </row>
    <row r="382" spans="2:18" x14ac:dyDescent="0.25">
      <c r="B382" s="2" t="str">
        <f t="shared" si="128"/>
        <v/>
      </c>
      <c r="C382" s="30" t="str">
        <f t="shared" si="129"/>
        <v/>
      </c>
      <c r="D382" s="30">
        <f t="shared" si="130"/>
        <v>0</v>
      </c>
      <c r="E382" s="30">
        <f t="shared" si="131"/>
        <v>0</v>
      </c>
      <c r="F382" s="2">
        <f t="shared" si="132"/>
        <v>0</v>
      </c>
      <c r="G382" s="30">
        <f t="shared" si="133"/>
        <v>0</v>
      </c>
      <c r="J382" s="30">
        <f t="shared" si="135"/>
        <v>0</v>
      </c>
      <c r="K382" s="30" t="str">
        <f t="shared" si="136"/>
        <v/>
      </c>
      <c r="L382" s="30">
        <f t="shared" si="144"/>
        <v>0</v>
      </c>
      <c r="M382" s="30"/>
    </row>
    <row r="383" spans="2:18" x14ac:dyDescent="0.25">
      <c r="B383" s="2" t="str">
        <f t="shared" si="128"/>
        <v/>
      </c>
      <c r="C383" s="30" t="str">
        <f t="shared" si="129"/>
        <v/>
      </c>
      <c r="D383" s="30">
        <f t="shared" si="130"/>
        <v>0</v>
      </c>
      <c r="E383" s="30">
        <f t="shared" si="131"/>
        <v>0</v>
      </c>
      <c r="F383" s="2">
        <f t="shared" si="132"/>
        <v>0</v>
      </c>
      <c r="G383" s="30">
        <f t="shared" si="133"/>
        <v>0</v>
      </c>
      <c r="J383" s="30">
        <f t="shared" si="135"/>
        <v>0</v>
      </c>
      <c r="K383" s="30" t="str">
        <f t="shared" si="136"/>
        <v/>
      </c>
      <c r="L383" s="30">
        <f t="shared" si="144"/>
        <v>0</v>
      </c>
      <c r="M383" s="30"/>
    </row>
    <row r="384" spans="2:18" x14ac:dyDescent="0.25">
      <c r="B384" s="2" t="str">
        <f t="shared" si="128"/>
        <v/>
      </c>
      <c r="C384" s="30" t="str">
        <f t="shared" si="129"/>
        <v/>
      </c>
      <c r="D384" s="30">
        <f t="shared" si="130"/>
        <v>0</v>
      </c>
      <c r="E384" s="30">
        <f t="shared" si="131"/>
        <v>0</v>
      </c>
      <c r="F384" s="2">
        <f t="shared" si="132"/>
        <v>0</v>
      </c>
      <c r="G384" s="30">
        <f t="shared" si="133"/>
        <v>0</v>
      </c>
      <c r="J384" s="30">
        <f t="shared" si="135"/>
        <v>0</v>
      </c>
      <c r="K384" s="30" t="str">
        <f t="shared" si="136"/>
        <v/>
      </c>
      <c r="L384" s="30">
        <f t="shared" si="144"/>
        <v>0</v>
      </c>
      <c r="M384" s="30"/>
    </row>
    <row r="385" spans="2:13" x14ac:dyDescent="0.25">
      <c r="B385" s="2" t="str">
        <f t="shared" si="128"/>
        <v/>
      </c>
      <c r="C385" s="30" t="str">
        <f t="shared" si="129"/>
        <v/>
      </c>
      <c r="D385" s="30">
        <f t="shared" si="130"/>
        <v>0</v>
      </c>
      <c r="E385" s="30">
        <f t="shared" si="131"/>
        <v>0</v>
      </c>
      <c r="F385" s="2">
        <f t="shared" si="132"/>
        <v>0</v>
      </c>
      <c r="G385" s="30">
        <f t="shared" si="133"/>
        <v>0</v>
      </c>
      <c r="J385" s="30">
        <f t="shared" si="135"/>
        <v>0</v>
      </c>
      <c r="K385" s="30" t="str">
        <f t="shared" si="136"/>
        <v/>
      </c>
      <c r="L385" s="30">
        <f t="shared" si="144"/>
        <v>0</v>
      </c>
      <c r="M385" s="30"/>
    </row>
    <row r="386" spans="2:13" x14ac:dyDescent="0.25">
      <c r="B386" s="2" t="str">
        <f t="shared" si="128"/>
        <v/>
      </c>
      <c r="C386" s="30" t="str">
        <f t="shared" si="129"/>
        <v/>
      </c>
      <c r="D386" s="30">
        <f t="shared" si="130"/>
        <v>0</v>
      </c>
      <c r="E386" s="30">
        <f t="shared" si="131"/>
        <v>0</v>
      </c>
      <c r="F386" s="2">
        <f t="shared" si="132"/>
        <v>0</v>
      </c>
      <c r="G386" s="30">
        <f t="shared" si="133"/>
        <v>0</v>
      </c>
      <c r="J386" s="30">
        <f t="shared" si="135"/>
        <v>0</v>
      </c>
      <c r="K386" s="30" t="str">
        <f t="shared" si="136"/>
        <v/>
      </c>
      <c r="L386" s="30">
        <f t="shared" si="144"/>
        <v>0</v>
      </c>
      <c r="M386" s="30"/>
    </row>
    <row r="387" spans="2:13" x14ac:dyDescent="0.25">
      <c r="B387" s="2" t="str">
        <f t="shared" si="128"/>
        <v/>
      </c>
      <c r="C387" s="30" t="str">
        <f t="shared" si="129"/>
        <v/>
      </c>
      <c r="D387" s="30">
        <f t="shared" si="130"/>
        <v>0</v>
      </c>
      <c r="E387" s="30">
        <f t="shared" si="131"/>
        <v>0</v>
      </c>
      <c r="F387" s="2">
        <f t="shared" si="132"/>
        <v>0</v>
      </c>
      <c r="G387" s="30">
        <f t="shared" si="133"/>
        <v>0</v>
      </c>
      <c r="J387" s="30">
        <f t="shared" si="135"/>
        <v>0</v>
      </c>
      <c r="K387" s="30" t="str">
        <f t="shared" si="136"/>
        <v/>
      </c>
      <c r="L387" s="30">
        <f t="shared" si="144"/>
        <v>0</v>
      </c>
      <c r="M387" s="30"/>
    </row>
    <row r="388" spans="2:13" x14ac:dyDescent="0.25">
      <c r="B388" s="2" t="str">
        <f t="shared" si="128"/>
        <v/>
      </c>
      <c r="C388" s="30" t="str">
        <f t="shared" si="129"/>
        <v/>
      </c>
      <c r="D388" s="30">
        <f t="shared" si="130"/>
        <v>0</v>
      </c>
      <c r="E388" s="30">
        <f t="shared" si="131"/>
        <v>0</v>
      </c>
      <c r="F388" s="2">
        <f t="shared" si="132"/>
        <v>0</v>
      </c>
      <c r="G388" s="30">
        <f t="shared" si="133"/>
        <v>0</v>
      </c>
      <c r="J388" s="30">
        <f t="shared" si="135"/>
        <v>0</v>
      </c>
      <c r="K388" s="30" t="str">
        <f t="shared" si="136"/>
        <v/>
      </c>
      <c r="L388" s="30">
        <f t="shared" si="144"/>
        <v>0</v>
      </c>
      <c r="M388" s="30"/>
    </row>
    <row r="389" spans="2:13" x14ac:dyDescent="0.25">
      <c r="B389" s="2" t="str">
        <f t="shared" si="128"/>
        <v/>
      </c>
      <c r="C389" s="30" t="str">
        <f t="shared" si="129"/>
        <v/>
      </c>
      <c r="D389" s="30">
        <f t="shared" si="130"/>
        <v>0</v>
      </c>
      <c r="E389" s="30">
        <f t="shared" si="131"/>
        <v>0</v>
      </c>
      <c r="F389" s="2">
        <f t="shared" si="132"/>
        <v>0</v>
      </c>
      <c r="G389" s="30">
        <f t="shared" si="133"/>
        <v>0</v>
      </c>
      <c r="J389" s="30">
        <f t="shared" si="135"/>
        <v>0</v>
      </c>
      <c r="K389" s="30" t="str">
        <f t="shared" si="136"/>
        <v/>
      </c>
      <c r="L389" s="30">
        <f t="shared" si="144"/>
        <v>0</v>
      </c>
      <c r="M389" s="30"/>
    </row>
    <row r="390" spans="2:13" x14ac:dyDescent="0.25">
      <c r="B390" s="2" t="str">
        <f t="shared" si="128"/>
        <v/>
      </c>
      <c r="C390" s="30" t="str">
        <f t="shared" si="129"/>
        <v/>
      </c>
      <c r="D390" s="30">
        <f t="shared" si="130"/>
        <v>0</v>
      </c>
      <c r="E390" s="30">
        <f t="shared" si="131"/>
        <v>0</v>
      </c>
      <c r="F390" s="2">
        <f t="shared" si="132"/>
        <v>0</v>
      </c>
      <c r="G390" s="30">
        <f t="shared" si="133"/>
        <v>0</v>
      </c>
      <c r="J390" s="30">
        <f t="shared" si="135"/>
        <v>0</v>
      </c>
      <c r="K390" s="30" t="str">
        <f t="shared" si="136"/>
        <v/>
      </c>
      <c r="L390" s="30">
        <f t="shared" si="144"/>
        <v>0</v>
      </c>
      <c r="M390" s="30"/>
    </row>
    <row r="391" spans="2:13" x14ac:dyDescent="0.25">
      <c r="B391" s="2" t="str">
        <f t="shared" si="128"/>
        <v/>
      </c>
      <c r="C391" s="30" t="str">
        <f t="shared" si="129"/>
        <v/>
      </c>
      <c r="D391" s="30">
        <f t="shared" si="130"/>
        <v>0</v>
      </c>
      <c r="E391" s="30">
        <f t="shared" si="131"/>
        <v>0</v>
      </c>
      <c r="F391" s="2">
        <f t="shared" si="132"/>
        <v>0</v>
      </c>
      <c r="G391" s="30">
        <f t="shared" si="133"/>
        <v>0</v>
      </c>
      <c r="J391" s="30">
        <f t="shared" si="135"/>
        <v>0</v>
      </c>
      <c r="K391" s="30" t="str">
        <f t="shared" si="136"/>
        <v/>
      </c>
      <c r="L391" s="30">
        <f t="shared" si="144"/>
        <v>0</v>
      </c>
      <c r="M391" s="30"/>
    </row>
    <row r="392" spans="2:13" x14ac:dyDescent="0.25">
      <c r="B392" s="2" t="str">
        <f t="shared" si="128"/>
        <v/>
      </c>
      <c r="C392" s="30" t="str">
        <f t="shared" si="129"/>
        <v/>
      </c>
      <c r="D392" s="30">
        <f t="shared" si="130"/>
        <v>0</v>
      </c>
      <c r="E392" s="30">
        <f t="shared" si="131"/>
        <v>0</v>
      </c>
      <c r="F392" s="2">
        <f t="shared" si="132"/>
        <v>0</v>
      </c>
      <c r="G392" s="30">
        <f t="shared" si="133"/>
        <v>0</v>
      </c>
      <c r="J392" s="30">
        <f t="shared" si="135"/>
        <v>0</v>
      </c>
      <c r="K392" s="30" t="str">
        <f t="shared" si="136"/>
        <v/>
      </c>
      <c r="L392" s="30">
        <f t="shared" si="144"/>
        <v>0</v>
      </c>
      <c r="M392" s="30"/>
    </row>
    <row r="393" spans="2:13" x14ac:dyDescent="0.25">
      <c r="B393" s="2" t="str">
        <f t="shared" si="128"/>
        <v/>
      </c>
      <c r="C393" s="30" t="str">
        <f t="shared" si="129"/>
        <v/>
      </c>
      <c r="D393" s="30">
        <f t="shared" si="130"/>
        <v>0</v>
      </c>
      <c r="E393" s="30">
        <f t="shared" si="131"/>
        <v>0</v>
      </c>
      <c r="F393" s="2">
        <f t="shared" si="132"/>
        <v>0</v>
      </c>
      <c r="G393" s="30">
        <f t="shared" si="133"/>
        <v>0</v>
      </c>
      <c r="J393" s="30">
        <f t="shared" si="135"/>
        <v>0</v>
      </c>
      <c r="K393" s="30" t="str">
        <f t="shared" si="136"/>
        <v/>
      </c>
      <c r="L393" s="30">
        <f t="shared" si="144"/>
        <v>0</v>
      </c>
      <c r="M393" s="30"/>
    </row>
    <row r="394" spans="2:13" x14ac:dyDescent="0.25">
      <c r="B394" s="2" t="str">
        <f t="shared" si="128"/>
        <v/>
      </c>
      <c r="C394" s="30" t="str">
        <f t="shared" si="129"/>
        <v/>
      </c>
      <c r="D394" s="30">
        <f t="shared" si="130"/>
        <v>0</v>
      </c>
      <c r="E394" s="30">
        <f t="shared" si="131"/>
        <v>0</v>
      </c>
      <c r="F394" s="2">
        <f t="shared" si="132"/>
        <v>0</v>
      </c>
      <c r="G394" s="30">
        <f t="shared" si="133"/>
        <v>0</v>
      </c>
      <c r="J394" s="30">
        <f t="shared" si="135"/>
        <v>0</v>
      </c>
      <c r="K394" s="30" t="str">
        <f t="shared" si="136"/>
        <v/>
      </c>
      <c r="L394" s="30">
        <f t="shared" si="144"/>
        <v>0</v>
      </c>
      <c r="M394" s="30"/>
    </row>
    <row r="395" spans="2:13" x14ac:dyDescent="0.25">
      <c r="B395" s="2" t="str">
        <f t="shared" si="128"/>
        <v/>
      </c>
      <c r="C395" s="30" t="str">
        <f t="shared" si="129"/>
        <v/>
      </c>
      <c r="D395" s="30">
        <f t="shared" si="130"/>
        <v>0</v>
      </c>
      <c r="E395" s="30">
        <f t="shared" si="131"/>
        <v>0</v>
      </c>
      <c r="F395" s="2">
        <f t="shared" si="132"/>
        <v>0</v>
      </c>
      <c r="G395" s="30">
        <f t="shared" si="133"/>
        <v>0</v>
      </c>
      <c r="J395" s="30">
        <f t="shared" si="135"/>
        <v>0</v>
      </c>
      <c r="K395" s="30" t="str">
        <f t="shared" si="136"/>
        <v/>
      </c>
      <c r="L395" s="30">
        <f t="shared" si="144"/>
        <v>0</v>
      </c>
      <c r="M395" s="30"/>
    </row>
    <row r="396" spans="2:13" x14ac:dyDescent="0.25">
      <c r="B396" s="2" t="str">
        <f t="shared" si="128"/>
        <v/>
      </c>
      <c r="C396" s="30" t="str">
        <f t="shared" si="129"/>
        <v/>
      </c>
      <c r="D396" s="30">
        <f t="shared" si="130"/>
        <v>0</v>
      </c>
      <c r="E396" s="30">
        <f t="shared" si="131"/>
        <v>0</v>
      </c>
      <c r="F396" s="2">
        <f t="shared" si="132"/>
        <v>0</v>
      </c>
      <c r="G396" s="30">
        <f t="shared" si="133"/>
        <v>0</v>
      </c>
      <c r="J396" s="30">
        <f t="shared" si="135"/>
        <v>0</v>
      </c>
      <c r="K396" s="30" t="str">
        <f t="shared" si="136"/>
        <v/>
      </c>
      <c r="L396" s="30">
        <f t="shared" si="144"/>
        <v>0</v>
      </c>
      <c r="M396" s="30"/>
    </row>
    <row r="397" spans="2:13" x14ac:dyDescent="0.25">
      <c r="B397" s="2" t="str">
        <f t="shared" ref="B397:B460" si="145">+IF(K396&gt;1,IF(B396="","",B396+1),"")</f>
        <v/>
      </c>
      <c r="C397" s="30" t="str">
        <f t="shared" ref="C397:C460" si="146">+IF(B397="","",K396)</f>
        <v/>
      </c>
      <c r="D397" s="30">
        <f t="shared" ref="D397:D460" si="147">+IF(B397="",0,-IPMT($C$5/12,B397,$C$6,$C$7))</f>
        <v>0</v>
      </c>
      <c r="E397" s="30">
        <f t="shared" ref="E397:E460" si="148">+IF(B397="",0,-PPMT($C$5/12,B397,$C$6,$C$7))</f>
        <v>0</v>
      </c>
      <c r="F397" s="2">
        <f t="shared" ref="F397:F460" si="149">+IF(B397="",0,$G$4)</f>
        <v>0</v>
      </c>
      <c r="G397" s="30">
        <f t="shared" ref="G397:G460" si="150">+IF(B397="",0,IF(C397&lt;$C$4*0.8,0,$G$5))</f>
        <v>0</v>
      </c>
      <c r="J397" s="30">
        <f t="shared" ref="J397:J460" si="151">+IF(B397="",0,E397+H397)</f>
        <v>0</v>
      </c>
      <c r="K397" s="30" t="str">
        <f t="shared" ref="K397:K460" si="152">+IF(B397="","",C397-J397)</f>
        <v/>
      </c>
      <c r="L397" s="30">
        <f t="shared" si="144"/>
        <v>0</v>
      </c>
      <c r="M397" s="30"/>
    </row>
    <row r="398" spans="2:13" x14ac:dyDescent="0.25">
      <c r="B398" s="2" t="str">
        <f t="shared" si="145"/>
        <v/>
      </c>
      <c r="C398" s="30" t="str">
        <f t="shared" si="146"/>
        <v/>
      </c>
      <c r="D398" s="30">
        <f t="shared" si="147"/>
        <v>0</v>
      </c>
      <c r="E398" s="30">
        <f t="shared" si="148"/>
        <v>0</v>
      </c>
      <c r="F398" s="2">
        <f t="shared" si="149"/>
        <v>0</v>
      </c>
      <c r="G398" s="30">
        <f t="shared" si="150"/>
        <v>0</v>
      </c>
      <c r="J398" s="30">
        <f t="shared" si="151"/>
        <v>0</v>
      </c>
      <c r="K398" s="30" t="str">
        <f t="shared" si="152"/>
        <v/>
      </c>
      <c r="L398" s="30">
        <f t="shared" si="144"/>
        <v>0</v>
      </c>
      <c r="M398" s="30"/>
    </row>
    <row r="399" spans="2:13" x14ac:dyDescent="0.25">
      <c r="B399" s="2" t="str">
        <f t="shared" si="145"/>
        <v/>
      </c>
      <c r="C399" s="30" t="str">
        <f t="shared" si="146"/>
        <v/>
      </c>
      <c r="D399" s="30">
        <f t="shared" si="147"/>
        <v>0</v>
      </c>
      <c r="E399" s="30">
        <f t="shared" si="148"/>
        <v>0</v>
      </c>
      <c r="F399" s="2">
        <f t="shared" si="149"/>
        <v>0</v>
      </c>
      <c r="G399" s="30">
        <f t="shared" si="150"/>
        <v>0</v>
      </c>
      <c r="J399" s="30">
        <f t="shared" si="151"/>
        <v>0</v>
      </c>
      <c r="K399" s="30" t="str">
        <f t="shared" si="152"/>
        <v/>
      </c>
      <c r="L399" s="30">
        <f t="shared" si="144"/>
        <v>0</v>
      </c>
      <c r="M399" s="30"/>
    </row>
    <row r="400" spans="2:13" x14ac:dyDescent="0.25">
      <c r="B400" s="2" t="str">
        <f t="shared" si="145"/>
        <v/>
      </c>
      <c r="C400" s="30" t="str">
        <f t="shared" si="146"/>
        <v/>
      </c>
      <c r="D400" s="30">
        <f t="shared" si="147"/>
        <v>0</v>
      </c>
      <c r="E400" s="30">
        <f t="shared" si="148"/>
        <v>0</v>
      </c>
      <c r="F400" s="2">
        <f t="shared" si="149"/>
        <v>0</v>
      </c>
      <c r="G400" s="30">
        <f t="shared" si="150"/>
        <v>0</v>
      </c>
      <c r="J400" s="30">
        <f t="shared" si="151"/>
        <v>0</v>
      </c>
      <c r="K400" s="30" t="str">
        <f t="shared" si="152"/>
        <v/>
      </c>
      <c r="L400" s="30">
        <f t="shared" si="144"/>
        <v>0</v>
      </c>
      <c r="M400" s="30"/>
    </row>
    <row r="401" spans="2:13" x14ac:dyDescent="0.25">
      <c r="B401" s="2" t="str">
        <f t="shared" si="145"/>
        <v/>
      </c>
      <c r="C401" s="30" t="str">
        <f t="shared" si="146"/>
        <v/>
      </c>
      <c r="D401" s="30">
        <f t="shared" si="147"/>
        <v>0</v>
      </c>
      <c r="E401" s="30">
        <f t="shared" si="148"/>
        <v>0</v>
      </c>
      <c r="F401" s="2">
        <f t="shared" si="149"/>
        <v>0</v>
      </c>
      <c r="G401" s="30">
        <f t="shared" si="150"/>
        <v>0</v>
      </c>
      <c r="J401" s="30">
        <f t="shared" si="151"/>
        <v>0</v>
      </c>
      <c r="K401" s="30" t="str">
        <f t="shared" si="152"/>
        <v/>
      </c>
      <c r="L401" s="30">
        <f t="shared" si="144"/>
        <v>0</v>
      </c>
      <c r="M401" s="30"/>
    </row>
    <row r="402" spans="2:13" x14ac:dyDescent="0.25">
      <c r="B402" s="2" t="str">
        <f t="shared" si="145"/>
        <v/>
      </c>
      <c r="C402" s="30" t="str">
        <f t="shared" si="146"/>
        <v/>
      </c>
      <c r="D402" s="30">
        <f t="shared" si="147"/>
        <v>0</v>
      </c>
      <c r="E402" s="30">
        <f t="shared" si="148"/>
        <v>0</v>
      </c>
      <c r="F402" s="2">
        <f t="shared" si="149"/>
        <v>0</v>
      </c>
      <c r="G402" s="30">
        <f t="shared" si="150"/>
        <v>0</v>
      </c>
      <c r="J402" s="30">
        <f t="shared" si="151"/>
        <v>0</v>
      </c>
      <c r="K402" s="30" t="str">
        <f t="shared" si="152"/>
        <v/>
      </c>
      <c r="L402" s="30">
        <f t="shared" si="144"/>
        <v>0</v>
      </c>
      <c r="M402" s="30"/>
    </row>
    <row r="403" spans="2:13" x14ac:dyDescent="0.25">
      <c r="B403" s="2" t="str">
        <f t="shared" si="145"/>
        <v/>
      </c>
      <c r="C403" s="30" t="str">
        <f t="shared" si="146"/>
        <v/>
      </c>
      <c r="D403" s="30">
        <f t="shared" si="147"/>
        <v>0</v>
      </c>
      <c r="E403" s="30">
        <f t="shared" si="148"/>
        <v>0</v>
      </c>
      <c r="F403" s="2">
        <f t="shared" si="149"/>
        <v>0</v>
      </c>
      <c r="G403" s="30">
        <f t="shared" si="150"/>
        <v>0</v>
      </c>
      <c r="J403" s="30">
        <f t="shared" si="151"/>
        <v>0</v>
      </c>
      <c r="K403" s="30" t="str">
        <f t="shared" si="152"/>
        <v/>
      </c>
      <c r="L403" s="30">
        <f t="shared" si="144"/>
        <v>0</v>
      </c>
      <c r="M403" s="30"/>
    </row>
    <row r="404" spans="2:13" x14ac:dyDescent="0.25">
      <c r="B404" s="2" t="str">
        <f t="shared" si="145"/>
        <v/>
      </c>
      <c r="C404" s="30" t="str">
        <f t="shared" si="146"/>
        <v/>
      </c>
      <c r="D404" s="30">
        <f t="shared" si="147"/>
        <v>0</v>
      </c>
      <c r="E404" s="30">
        <f t="shared" si="148"/>
        <v>0</v>
      </c>
      <c r="F404" s="2">
        <f t="shared" si="149"/>
        <v>0</v>
      </c>
      <c r="G404" s="30">
        <f t="shared" si="150"/>
        <v>0</v>
      </c>
      <c r="J404" s="30">
        <f t="shared" si="151"/>
        <v>0</v>
      </c>
      <c r="K404" s="30" t="str">
        <f t="shared" si="152"/>
        <v/>
      </c>
      <c r="L404" s="30">
        <f t="shared" si="144"/>
        <v>0</v>
      </c>
      <c r="M404" s="30"/>
    </row>
    <row r="405" spans="2:13" x14ac:dyDescent="0.25">
      <c r="B405" s="2" t="str">
        <f t="shared" si="145"/>
        <v/>
      </c>
      <c r="C405" s="30" t="str">
        <f t="shared" si="146"/>
        <v/>
      </c>
      <c r="D405" s="30">
        <f t="shared" si="147"/>
        <v>0</v>
      </c>
      <c r="E405" s="30">
        <f t="shared" si="148"/>
        <v>0</v>
      </c>
      <c r="F405" s="2">
        <f t="shared" si="149"/>
        <v>0</v>
      </c>
      <c r="G405" s="30">
        <f t="shared" si="150"/>
        <v>0</v>
      </c>
      <c r="J405" s="30">
        <f t="shared" si="151"/>
        <v>0</v>
      </c>
      <c r="K405" s="30" t="str">
        <f t="shared" si="152"/>
        <v/>
      </c>
      <c r="L405" s="30">
        <f t="shared" si="144"/>
        <v>0</v>
      </c>
      <c r="M405" s="30"/>
    </row>
    <row r="406" spans="2:13" x14ac:dyDescent="0.25">
      <c r="B406" s="2" t="str">
        <f t="shared" si="145"/>
        <v/>
      </c>
      <c r="C406" s="30" t="str">
        <f t="shared" si="146"/>
        <v/>
      </c>
      <c r="D406" s="30">
        <f t="shared" si="147"/>
        <v>0</v>
      </c>
      <c r="E406" s="30">
        <f t="shared" si="148"/>
        <v>0</v>
      </c>
      <c r="F406" s="2">
        <f t="shared" si="149"/>
        <v>0</v>
      </c>
      <c r="G406" s="30">
        <f t="shared" si="150"/>
        <v>0</v>
      </c>
      <c r="J406" s="30">
        <f t="shared" si="151"/>
        <v>0</v>
      </c>
      <c r="K406" s="30" t="str">
        <f t="shared" si="152"/>
        <v/>
      </c>
      <c r="L406" s="30">
        <f t="shared" si="144"/>
        <v>0</v>
      </c>
      <c r="M406" s="30"/>
    </row>
    <row r="407" spans="2:13" x14ac:dyDescent="0.25">
      <c r="B407" s="2" t="str">
        <f t="shared" si="145"/>
        <v/>
      </c>
      <c r="C407" s="30" t="str">
        <f t="shared" si="146"/>
        <v/>
      </c>
      <c r="D407" s="30">
        <f t="shared" si="147"/>
        <v>0</v>
      </c>
      <c r="E407" s="30">
        <f t="shared" si="148"/>
        <v>0</v>
      </c>
      <c r="F407" s="2">
        <f t="shared" si="149"/>
        <v>0</v>
      </c>
      <c r="G407" s="30">
        <f t="shared" si="150"/>
        <v>0</v>
      </c>
      <c r="J407" s="30">
        <f t="shared" si="151"/>
        <v>0</v>
      </c>
      <c r="K407" s="30" t="str">
        <f t="shared" si="152"/>
        <v/>
      </c>
      <c r="L407" s="30">
        <f t="shared" si="144"/>
        <v>0</v>
      </c>
      <c r="M407" s="30"/>
    </row>
    <row r="408" spans="2:13" x14ac:dyDescent="0.25">
      <c r="B408" s="2" t="str">
        <f t="shared" si="145"/>
        <v/>
      </c>
      <c r="C408" s="30" t="str">
        <f t="shared" si="146"/>
        <v/>
      </c>
      <c r="D408" s="30">
        <f t="shared" si="147"/>
        <v>0</v>
      </c>
      <c r="E408" s="30">
        <f t="shared" si="148"/>
        <v>0</v>
      </c>
      <c r="F408" s="2">
        <f t="shared" si="149"/>
        <v>0</v>
      </c>
      <c r="G408" s="30">
        <f t="shared" si="150"/>
        <v>0</v>
      </c>
      <c r="J408" s="30">
        <f t="shared" si="151"/>
        <v>0</v>
      </c>
      <c r="K408" s="30" t="str">
        <f t="shared" si="152"/>
        <v/>
      </c>
      <c r="L408" s="30">
        <f t="shared" si="144"/>
        <v>0</v>
      </c>
      <c r="M408" s="30"/>
    </row>
    <row r="409" spans="2:13" x14ac:dyDescent="0.25">
      <c r="B409" s="2" t="str">
        <f t="shared" si="145"/>
        <v/>
      </c>
      <c r="C409" s="30" t="str">
        <f t="shared" si="146"/>
        <v/>
      </c>
      <c r="D409" s="30">
        <f t="shared" si="147"/>
        <v>0</v>
      </c>
      <c r="E409" s="30">
        <f t="shared" si="148"/>
        <v>0</v>
      </c>
      <c r="F409" s="2">
        <f t="shared" si="149"/>
        <v>0</v>
      </c>
      <c r="G409" s="30">
        <f t="shared" si="150"/>
        <v>0</v>
      </c>
      <c r="J409" s="30">
        <f t="shared" si="151"/>
        <v>0</v>
      </c>
      <c r="K409" s="30" t="str">
        <f t="shared" si="152"/>
        <v/>
      </c>
      <c r="L409" s="30">
        <f t="shared" si="144"/>
        <v>0</v>
      </c>
      <c r="M409" s="30"/>
    </row>
    <row r="410" spans="2:13" x14ac:dyDescent="0.25">
      <c r="B410" s="2" t="str">
        <f t="shared" si="145"/>
        <v/>
      </c>
      <c r="C410" s="30" t="str">
        <f t="shared" si="146"/>
        <v/>
      </c>
      <c r="D410" s="30">
        <f t="shared" si="147"/>
        <v>0</v>
      </c>
      <c r="E410" s="30">
        <f t="shared" si="148"/>
        <v>0</v>
      </c>
      <c r="F410" s="2">
        <f t="shared" si="149"/>
        <v>0</v>
      </c>
      <c r="G410" s="30">
        <f t="shared" si="150"/>
        <v>0</v>
      </c>
      <c r="J410" s="30">
        <f t="shared" si="151"/>
        <v>0</v>
      </c>
      <c r="K410" s="30" t="str">
        <f t="shared" si="152"/>
        <v/>
      </c>
      <c r="L410" s="30">
        <f t="shared" si="144"/>
        <v>0</v>
      </c>
      <c r="M410" s="30"/>
    </row>
    <row r="411" spans="2:13" x14ac:dyDescent="0.25">
      <c r="B411" s="2" t="str">
        <f t="shared" si="145"/>
        <v/>
      </c>
      <c r="C411" s="30" t="str">
        <f t="shared" si="146"/>
        <v/>
      </c>
      <c r="D411" s="30">
        <f t="shared" si="147"/>
        <v>0</v>
      </c>
      <c r="E411" s="30">
        <f t="shared" si="148"/>
        <v>0</v>
      </c>
      <c r="F411" s="2">
        <f t="shared" si="149"/>
        <v>0</v>
      </c>
      <c r="G411" s="30">
        <f t="shared" si="150"/>
        <v>0</v>
      </c>
      <c r="J411" s="30">
        <f t="shared" si="151"/>
        <v>0</v>
      </c>
      <c r="K411" s="30" t="str">
        <f t="shared" si="152"/>
        <v/>
      </c>
      <c r="L411" s="30">
        <f t="shared" si="144"/>
        <v>0</v>
      </c>
      <c r="M411" s="30"/>
    </row>
    <row r="412" spans="2:13" x14ac:dyDescent="0.25">
      <c r="B412" s="2" t="str">
        <f t="shared" si="145"/>
        <v/>
      </c>
      <c r="C412" s="30" t="str">
        <f t="shared" si="146"/>
        <v/>
      </c>
      <c r="D412" s="30">
        <f t="shared" si="147"/>
        <v>0</v>
      </c>
      <c r="E412" s="30">
        <f t="shared" si="148"/>
        <v>0</v>
      </c>
      <c r="F412" s="2">
        <f t="shared" si="149"/>
        <v>0</v>
      </c>
      <c r="G412" s="30">
        <f t="shared" si="150"/>
        <v>0</v>
      </c>
      <c r="J412" s="30">
        <f t="shared" si="151"/>
        <v>0</v>
      </c>
      <c r="K412" s="30" t="str">
        <f t="shared" si="152"/>
        <v/>
      </c>
      <c r="L412" s="30">
        <f t="shared" si="144"/>
        <v>0</v>
      </c>
      <c r="M412" s="30"/>
    </row>
    <row r="413" spans="2:13" x14ac:dyDescent="0.25">
      <c r="B413" s="2" t="str">
        <f t="shared" si="145"/>
        <v/>
      </c>
      <c r="C413" s="30" t="str">
        <f t="shared" si="146"/>
        <v/>
      </c>
      <c r="D413" s="30">
        <f t="shared" si="147"/>
        <v>0</v>
      </c>
      <c r="E413" s="30">
        <f t="shared" si="148"/>
        <v>0</v>
      </c>
      <c r="F413" s="2">
        <f t="shared" si="149"/>
        <v>0</v>
      </c>
      <c r="G413" s="30">
        <f t="shared" si="150"/>
        <v>0</v>
      </c>
      <c r="J413" s="30">
        <f t="shared" si="151"/>
        <v>0</v>
      </c>
      <c r="K413" s="30" t="str">
        <f t="shared" si="152"/>
        <v/>
      </c>
      <c r="L413" s="30">
        <f t="shared" si="144"/>
        <v>0</v>
      </c>
      <c r="M413" s="30"/>
    </row>
    <row r="414" spans="2:13" x14ac:dyDescent="0.25">
      <c r="B414" s="2" t="str">
        <f t="shared" si="145"/>
        <v/>
      </c>
      <c r="C414" s="30" t="str">
        <f t="shared" si="146"/>
        <v/>
      </c>
      <c r="D414" s="30">
        <f t="shared" si="147"/>
        <v>0</v>
      </c>
      <c r="E414" s="30">
        <f t="shared" si="148"/>
        <v>0</v>
      </c>
      <c r="F414" s="2">
        <f t="shared" si="149"/>
        <v>0</v>
      </c>
      <c r="G414" s="30">
        <f t="shared" si="150"/>
        <v>0</v>
      </c>
      <c r="J414" s="30">
        <f t="shared" si="151"/>
        <v>0</v>
      </c>
      <c r="K414" s="30" t="str">
        <f t="shared" si="152"/>
        <v/>
      </c>
      <c r="L414" s="30">
        <f t="shared" si="144"/>
        <v>0</v>
      </c>
      <c r="M414" s="30"/>
    </row>
    <row r="415" spans="2:13" x14ac:dyDescent="0.25">
      <c r="B415" s="2" t="str">
        <f t="shared" si="145"/>
        <v/>
      </c>
      <c r="C415" s="30" t="str">
        <f t="shared" si="146"/>
        <v/>
      </c>
      <c r="D415" s="30">
        <f t="shared" si="147"/>
        <v>0</v>
      </c>
      <c r="E415" s="30">
        <f t="shared" si="148"/>
        <v>0</v>
      </c>
      <c r="F415" s="2">
        <f t="shared" si="149"/>
        <v>0</v>
      </c>
      <c r="G415" s="30">
        <f t="shared" si="150"/>
        <v>0</v>
      </c>
      <c r="J415" s="30">
        <f t="shared" si="151"/>
        <v>0</v>
      </c>
      <c r="K415" s="30" t="str">
        <f t="shared" si="152"/>
        <v/>
      </c>
      <c r="L415" s="30">
        <f t="shared" si="144"/>
        <v>0</v>
      </c>
      <c r="M415" s="30"/>
    </row>
    <row r="416" spans="2:13" x14ac:dyDescent="0.25">
      <c r="B416" s="2" t="str">
        <f t="shared" si="145"/>
        <v/>
      </c>
      <c r="C416" s="30" t="str">
        <f t="shared" si="146"/>
        <v/>
      </c>
      <c r="D416" s="30">
        <f t="shared" si="147"/>
        <v>0</v>
      </c>
      <c r="E416" s="30">
        <f t="shared" si="148"/>
        <v>0</v>
      </c>
      <c r="F416" s="2">
        <f t="shared" si="149"/>
        <v>0</v>
      </c>
      <c r="G416" s="30">
        <f t="shared" si="150"/>
        <v>0</v>
      </c>
      <c r="J416" s="30">
        <f t="shared" si="151"/>
        <v>0</v>
      </c>
      <c r="K416" s="30" t="str">
        <f t="shared" si="152"/>
        <v/>
      </c>
      <c r="L416" s="30">
        <f t="shared" si="144"/>
        <v>0</v>
      </c>
      <c r="M416" s="30"/>
    </row>
    <row r="417" spans="2:13" x14ac:dyDescent="0.25">
      <c r="B417" s="2" t="str">
        <f t="shared" si="145"/>
        <v/>
      </c>
      <c r="C417" s="30" t="str">
        <f t="shared" si="146"/>
        <v/>
      </c>
      <c r="D417" s="30">
        <f t="shared" si="147"/>
        <v>0</v>
      </c>
      <c r="E417" s="30">
        <f t="shared" si="148"/>
        <v>0</v>
      </c>
      <c r="F417" s="2">
        <f t="shared" si="149"/>
        <v>0</v>
      </c>
      <c r="G417" s="30">
        <f t="shared" si="150"/>
        <v>0</v>
      </c>
      <c r="J417" s="30">
        <f t="shared" si="151"/>
        <v>0</v>
      </c>
      <c r="K417" s="30" t="str">
        <f t="shared" si="152"/>
        <v/>
      </c>
      <c r="L417" s="30">
        <f t="shared" si="144"/>
        <v>0</v>
      </c>
      <c r="M417" s="30"/>
    </row>
    <row r="418" spans="2:13" x14ac:dyDescent="0.25">
      <c r="B418" s="2" t="str">
        <f t="shared" si="145"/>
        <v/>
      </c>
      <c r="C418" s="30" t="str">
        <f t="shared" si="146"/>
        <v/>
      </c>
      <c r="D418" s="30">
        <f t="shared" si="147"/>
        <v>0</v>
      </c>
      <c r="E418" s="30">
        <f t="shared" si="148"/>
        <v>0</v>
      </c>
      <c r="F418" s="2">
        <f t="shared" si="149"/>
        <v>0</v>
      </c>
      <c r="G418" s="30">
        <f t="shared" si="150"/>
        <v>0</v>
      </c>
      <c r="J418" s="30">
        <f t="shared" si="151"/>
        <v>0</v>
      </c>
      <c r="K418" s="30" t="str">
        <f t="shared" si="152"/>
        <v/>
      </c>
      <c r="L418" s="30">
        <f t="shared" si="144"/>
        <v>0</v>
      </c>
      <c r="M418" s="30"/>
    </row>
    <row r="419" spans="2:13" x14ac:dyDescent="0.25">
      <c r="B419" s="2" t="str">
        <f t="shared" si="145"/>
        <v/>
      </c>
      <c r="C419" s="30" t="str">
        <f t="shared" si="146"/>
        <v/>
      </c>
      <c r="D419" s="30">
        <f t="shared" si="147"/>
        <v>0</v>
      </c>
      <c r="E419" s="30">
        <f t="shared" si="148"/>
        <v>0</v>
      </c>
      <c r="F419" s="2">
        <f t="shared" si="149"/>
        <v>0</v>
      </c>
      <c r="G419" s="30">
        <f t="shared" si="150"/>
        <v>0</v>
      </c>
      <c r="J419" s="30">
        <f t="shared" si="151"/>
        <v>0</v>
      </c>
      <c r="K419" s="30" t="str">
        <f t="shared" si="152"/>
        <v/>
      </c>
      <c r="L419" s="30">
        <f t="shared" si="144"/>
        <v>0</v>
      </c>
      <c r="M419" s="30"/>
    </row>
    <row r="420" spans="2:13" x14ac:dyDescent="0.25">
      <c r="B420" s="2" t="str">
        <f t="shared" si="145"/>
        <v/>
      </c>
      <c r="C420" s="30" t="str">
        <f t="shared" si="146"/>
        <v/>
      </c>
      <c r="D420" s="30">
        <f t="shared" si="147"/>
        <v>0</v>
      </c>
      <c r="E420" s="30">
        <f t="shared" si="148"/>
        <v>0</v>
      </c>
      <c r="F420" s="2">
        <f t="shared" si="149"/>
        <v>0</v>
      </c>
      <c r="G420" s="30">
        <f t="shared" si="150"/>
        <v>0</v>
      </c>
      <c r="J420" s="30">
        <f t="shared" si="151"/>
        <v>0</v>
      </c>
      <c r="K420" s="30" t="str">
        <f t="shared" si="152"/>
        <v/>
      </c>
      <c r="L420" s="30">
        <f t="shared" si="144"/>
        <v>0</v>
      </c>
      <c r="M420" s="30"/>
    </row>
    <row r="421" spans="2:13" x14ac:dyDescent="0.25">
      <c r="B421" s="2" t="str">
        <f t="shared" si="145"/>
        <v/>
      </c>
      <c r="C421" s="30" t="str">
        <f t="shared" si="146"/>
        <v/>
      </c>
      <c r="D421" s="30">
        <f t="shared" si="147"/>
        <v>0</v>
      </c>
      <c r="E421" s="30">
        <f t="shared" si="148"/>
        <v>0</v>
      </c>
      <c r="F421" s="2">
        <f t="shared" si="149"/>
        <v>0</v>
      </c>
      <c r="G421" s="30">
        <f t="shared" si="150"/>
        <v>0</v>
      </c>
      <c r="J421" s="30">
        <f t="shared" si="151"/>
        <v>0</v>
      </c>
      <c r="K421" s="30" t="str">
        <f t="shared" si="152"/>
        <v/>
      </c>
      <c r="L421" s="30">
        <f t="shared" si="144"/>
        <v>0</v>
      </c>
      <c r="M421" s="30"/>
    </row>
    <row r="422" spans="2:13" x14ac:dyDescent="0.25">
      <c r="B422" s="2" t="str">
        <f t="shared" si="145"/>
        <v/>
      </c>
      <c r="C422" s="30" t="str">
        <f t="shared" si="146"/>
        <v/>
      </c>
      <c r="D422" s="30">
        <f t="shared" si="147"/>
        <v>0</v>
      </c>
      <c r="E422" s="30">
        <f t="shared" si="148"/>
        <v>0</v>
      </c>
      <c r="F422" s="2">
        <f t="shared" si="149"/>
        <v>0</v>
      </c>
      <c r="G422" s="30">
        <f t="shared" si="150"/>
        <v>0</v>
      </c>
      <c r="J422" s="30">
        <f t="shared" si="151"/>
        <v>0</v>
      </c>
      <c r="K422" s="30" t="str">
        <f t="shared" si="152"/>
        <v/>
      </c>
      <c r="L422" s="30">
        <f t="shared" si="144"/>
        <v>0</v>
      </c>
      <c r="M422" s="30"/>
    </row>
    <row r="423" spans="2:13" x14ac:dyDescent="0.25">
      <c r="B423" s="2" t="str">
        <f t="shared" si="145"/>
        <v/>
      </c>
      <c r="C423" s="30" t="str">
        <f t="shared" si="146"/>
        <v/>
      </c>
      <c r="D423" s="30">
        <f t="shared" si="147"/>
        <v>0</v>
      </c>
      <c r="E423" s="30">
        <f t="shared" si="148"/>
        <v>0</v>
      </c>
      <c r="F423" s="2">
        <f t="shared" si="149"/>
        <v>0</v>
      </c>
      <c r="G423" s="30">
        <f t="shared" si="150"/>
        <v>0</v>
      </c>
      <c r="J423" s="30">
        <f t="shared" si="151"/>
        <v>0</v>
      </c>
      <c r="K423" s="30" t="str">
        <f t="shared" si="152"/>
        <v/>
      </c>
      <c r="L423" s="30">
        <f t="shared" si="144"/>
        <v>0</v>
      </c>
      <c r="M423" s="30"/>
    </row>
    <row r="424" spans="2:13" x14ac:dyDescent="0.25">
      <c r="B424" s="2" t="str">
        <f t="shared" si="145"/>
        <v/>
      </c>
      <c r="C424" s="30" t="str">
        <f t="shared" si="146"/>
        <v/>
      </c>
      <c r="D424" s="30">
        <f t="shared" si="147"/>
        <v>0</v>
      </c>
      <c r="E424" s="30">
        <f t="shared" si="148"/>
        <v>0</v>
      </c>
      <c r="F424" s="2">
        <f t="shared" si="149"/>
        <v>0</v>
      </c>
      <c r="G424" s="30">
        <f t="shared" si="150"/>
        <v>0</v>
      </c>
      <c r="J424" s="30">
        <f t="shared" si="151"/>
        <v>0</v>
      </c>
      <c r="K424" s="30" t="str">
        <f t="shared" si="152"/>
        <v/>
      </c>
      <c r="L424" s="30">
        <f t="shared" si="144"/>
        <v>0</v>
      </c>
      <c r="M424" s="30"/>
    </row>
    <row r="425" spans="2:13" x14ac:dyDescent="0.25">
      <c r="B425" s="2" t="str">
        <f t="shared" si="145"/>
        <v/>
      </c>
      <c r="C425" s="30" t="str">
        <f t="shared" si="146"/>
        <v/>
      </c>
      <c r="D425" s="30">
        <f t="shared" si="147"/>
        <v>0</v>
      </c>
      <c r="E425" s="30">
        <f t="shared" si="148"/>
        <v>0</v>
      </c>
      <c r="F425" s="2">
        <f t="shared" si="149"/>
        <v>0</v>
      </c>
      <c r="G425" s="30">
        <f t="shared" si="150"/>
        <v>0</v>
      </c>
      <c r="J425" s="30">
        <f t="shared" si="151"/>
        <v>0</v>
      </c>
      <c r="K425" s="30" t="str">
        <f t="shared" si="152"/>
        <v/>
      </c>
      <c r="L425" s="30">
        <f t="shared" si="144"/>
        <v>0</v>
      </c>
      <c r="M425" s="30"/>
    </row>
    <row r="426" spans="2:13" x14ac:dyDescent="0.25">
      <c r="B426" s="2" t="str">
        <f t="shared" si="145"/>
        <v/>
      </c>
      <c r="C426" s="30" t="str">
        <f t="shared" si="146"/>
        <v/>
      </c>
      <c r="D426" s="30">
        <f t="shared" si="147"/>
        <v>0</v>
      </c>
      <c r="E426" s="30">
        <f t="shared" si="148"/>
        <v>0</v>
      </c>
      <c r="F426" s="2">
        <f t="shared" si="149"/>
        <v>0</v>
      </c>
      <c r="G426" s="30">
        <f t="shared" si="150"/>
        <v>0</v>
      </c>
      <c r="J426" s="30">
        <f t="shared" si="151"/>
        <v>0</v>
      </c>
      <c r="K426" s="30" t="str">
        <f t="shared" si="152"/>
        <v/>
      </c>
      <c r="L426" s="30">
        <f t="shared" si="144"/>
        <v>0</v>
      </c>
      <c r="M426" s="30"/>
    </row>
    <row r="427" spans="2:13" x14ac:dyDescent="0.25">
      <c r="B427" s="2" t="str">
        <f t="shared" si="145"/>
        <v/>
      </c>
      <c r="C427" s="30" t="str">
        <f t="shared" si="146"/>
        <v/>
      </c>
      <c r="D427" s="30">
        <f t="shared" si="147"/>
        <v>0</v>
      </c>
      <c r="E427" s="30">
        <f t="shared" si="148"/>
        <v>0</v>
      </c>
      <c r="F427" s="2">
        <f t="shared" si="149"/>
        <v>0</v>
      </c>
      <c r="G427" s="30">
        <f t="shared" si="150"/>
        <v>0</v>
      </c>
      <c r="J427" s="30">
        <f t="shared" si="151"/>
        <v>0</v>
      </c>
      <c r="K427" s="30" t="str">
        <f t="shared" si="152"/>
        <v/>
      </c>
      <c r="L427" s="30">
        <f t="shared" si="144"/>
        <v>0</v>
      </c>
      <c r="M427" s="30"/>
    </row>
    <row r="428" spans="2:13" x14ac:dyDescent="0.25">
      <c r="B428" s="2" t="str">
        <f t="shared" si="145"/>
        <v/>
      </c>
      <c r="C428" s="30" t="str">
        <f t="shared" si="146"/>
        <v/>
      </c>
      <c r="D428" s="30">
        <f t="shared" si="147"/>
        <v>0</v>
      </c>
      <c r="E428" s="30">
        <f t="shared" si="148"/>
        <v>0</v>
      </c>
      <c r="F428" s="2">
        <f t="shared" si="149"/>
        <v>0</v>
      </c>
      <c r="G428" s="30">
        <f t="shared" si="150"/>
        <v>0</v>
      </c>
      <c r="J428" s="30">
        <f t="shared" si="151"/>
        <v>0</v>
      </c>
      <c r="K428" s="30" t="str">
        <f t="shared" si="152"/>
        <v/>
      </c>
      <c r="L428" s="30">
        <f t="shared" si="144"/>
        <v>0</v>
      </c>
      <c r="M428" s="30"/>
    </row>
    <row r="429" spans="2:13" x14ac:dyDescent="0.25">
      <c r="B429" s="2" t="str">
        <f t="shared" si="145"/>
        <v/>
      </c>
      <c r="C429" s="30" t="str">
        <f t="shared" si="146"/>
        <v/>
      </c>
      <c r="D429" s="30">
        <f t="shared" si="147"/>
        <v>0</v>
      </c>
      <c r="E429" s="30">
        <f t="shared" si="148"/>
        <v>0</v>
      </c>
      <c r="F429" s="2">
        <f t="shared" si="149"/>
        <v>0</v>
      </c>
      <c r="G429" s="30">
        <f t="shared" si="150"/>
        <v>0</v>
      </c>
      <c r="J429" s="30">
        <f t="shared" si="151"/>
        <v>0</v>
      </c>
      <c r="K429" s="30" t="str">
        <f t="shared" si="152"/>
        <v/>
      </c>
      <c r="L429" s="30">
        <f t="shared" si="144"/>
        <v>0</v>
      </c>
      <c r="M429" s="30"/>
    </row>
    <row r="430" spans="2:13" x14ac:dyDescent="0.25">
      <c r="B430" s="2" t="str">
        <f t="shared" si="145"/>
        <v/>
      </c>
      <c r="C430" s="30" t="str">
        <f t="shared" si="146"/>
        <v/>
      </c>
      <c r="D430" s="30">
        <f t="shared" si="147"/>
        <v>0</v>
      </c>
      <c r="E430" s="30">
        <f t="shared" si="148"/>
        <v>0</v>
      </c>
      <c r="F430" s="2">
        <f t="shared" si="149"/>
        <v>0</v>
      </c>
      <c r="G430" s="30">
        <f t="shared" si="150"/>
        <v>0</v>
      </c>
      <c r="J430" s="30">
        <f t="shared" si="151"/>
        <v>0</v>
      </c>
      <c r="K430" s="30" t="str">
        <f t="shared" si="152"/>
        <v/>
      </c>
      <c r="L430" s="30">
        <f t="shared" si="144"/>
        <v>0</v>
      </c>
      <c r="M430" s="30"/>
    </row>
    <row r="431" spans="2:13" x14ac:dyDescent="0.25">
      <c r="B431" s="2" t="str">
        <f t="shared" si="145"/>
        <v/>
      </c>
      <c r="C431" s="30" t="str">
        <f t="shared" si="146"/>
        <v/>
      </c>
      <c r="D431" s="30">
        <f t="shared" si="147"/>
        <v>0</v>
      </c>
      <c r="E431" s="30">
        <f t="shared" si="148"/>
        <v>0</v>
      </c>
      <c r="F431" s="2">
        <f t="shared" si="149"/>
        <v>0</v>
      </c>
      <c r="G431" s="30">
        <f t="shared" si="150"/>
        <v>0</v>
      </c>
      <c r="J431" s="30">
        <f t="shared" si="151"/>
        <v>0</v>
      </c>
      <c r="K431" s="30" t="str">
        <f t="shared" si="152"/>
        <v/>
      </c>
      <c r="L431" s="30">
        <f t="shared" si="144"/>
        <v>0</v>
      </c>
      <c r="M431" s="30"/>
    </row>
    <row r="432" spans="2:13" x14ac:dyDescent="0.25">
      <c r="B432" s="2" t="str">
        <f t="shared" si="145"/>
        <v/>
      </c>
      <c r="C432" s="30" t="str">
        <f t="shared" si="146"/>
        <v/>
      </c>
      <c r="D432" s="30">
        <f t="shared" si="147"/>
        <v>0</v>
      </c>
      <c r="E432" s="30">
        <f t="shared" si="148"/>
        <v>0</v>
      </c>
      <c r="F432" s="2">
        <f t="shared" si="149"/>
        <v>0</v>
      </c>
      <c r="G432" s="30">
        <f t="shared" si="150"/>
        <v>0</v>
      </c>
      <c r="J432" s="30">
        <f t="shared" si="151"/>
        <v>0</v>
      </c>
      <c r="K432" s="30" t="str">
        <f t="shared" si="152"/>
        <v/>
      </c>
      <c r="L432" s="30">
        <f t="shared" si="144"/>
        <v>0</v>
      </c>
      <c r="M432" s="30"/>
    </row>
    <row r="433" spans="2:13" x14ac:dyDescent="0.25">
      <c r="B433" s="2" t="str">
        <f t="shared" si="145"/>
        <v/>
      </c>
      <c r="C433" s="30" t="str">
        <f t="shared" si="146"/>
        <v/>
      </c>
      <c r="D433" s="30">
        <f t="shared" si="147"/>
        <v>0</v>
      </c>
      <c r="E433" s="30">
        <f t="shared" si="148"/>
        <v>0</v>
      </c>
      <c r="F433" s="2">
        <f t="shared" si="149"/>
        <v>0</v>
      </c>
      <c r="G433" s="30">
        <f t="shared" si="150"/>
        <v>0</v>
      </c>
      <c r="J433" s="30">
        <f t="shared" si="151"/>
        <v>0</v>
      </c>
      <c r="K433" s="30" t="str">
        <f t="shared" si="152"/>
        <v/>
      </c>
      <c r="L433" s="30">
        <f t="shared" si="144"/>
        <v>0</v>
      </c>
      <c r="M433" s="30"/>
    </row>
    <row r="434" spans="2:13" x14ac:dyDescent="0.25">
      <c r="B434" s="2" t="str">
        <f t="shared" si="145"/>
        <v/>
      </c>
      <c r="C434" s="30" t="str">
        <f t="shared" si="146"/>
        <v/>
      </c>
      <c r="D434" s="30">
        <f t="shared" si="147"/>
        <v>0</v>
      </c>
      <c r="E434" s="30">
        <f t="shared" si="148"/>
        <v>0</v>
      </c>
      <c r="F434" s="2">
        <f t="shared" si="149"/>
        <v>0</v>
      </c>
      <c r="G434" s="30">
        <f t="shared" si="150"/>
        <v>0</v>
      </c>
      <c r="J434" s="30">
        <f t="shared" si="151"/>
        <v>0</v>
      </c>
      <c r="K434" s="30" t="str">
        <f t="shared" si="152"/>
        <v/>
      </c>
      <c r="L434" s="30">
        <f t="shared" si="144"/>
        <v>0</v>
      </c>
      <c r="M434" s="30"/>
    </row>
    <row r="435" spans="2:13" x14ac:dyDescent="0.25">
      <c r="B435" s="2" t="str">
        <f t="shared" si="145"/>
        <v/>
      </c>
      <c r="C435" s="30" t="str">
        <f t="shared" si="146"/>
        <v/>
      </c>
      <c r="D435" s="30">
        <f t="shared" si="147"/>
        <v>0</v>
      </c>
      <c r="E435" s="30">
        <f t="shared" si="148"/>
        <v>0</v>
      </c>
      <c r="F435" s="2">
        <f t="shared" si="149"/>
        <v>0</v>
      </c>
      <c r="G435" s="30">
        <f t="shared" si="150"/>
        <v>0</v>
      </c>
      <c r="J435" s="30">
        <f t="shared" si="151"/>
        <v>0</v>
      </c>
      <c r="K435" s="30" t="str">
        <f t="shared" si="152"/>
        <v/>
      </c>
      <c r="L435" s="30">
        <f t="shared" si="144"/>
        <v>0</v>
      </c>
      <c r="M435" s="30"/>
    </row>
    <row r="436" spans="2:13" x14ac:dyDescent="0.25">
      <c r="B436" s="2" t="str">
        <f t="shared" si="145"/>
        <v/>
      </c>
      <c r="C436" s="30" t="str">
        <f t="shared" si="146"/>
        <v/>
      </c>
      <c r="D436" s="30">
        <f t="shared" si="147"/>
        <v>0</v>
      </c>
      <c r="E436" s="30">
        <f t="shared" si="148"/>
        <v>0</v>
      </c>
      <c r="F436" s="2">
        <f t="shared" si="149"/>
        <v>0</v>
      </c>
      <c r="G436" s="30">
        <f t="shared" si="150"/>
        <v>0</v>
      </c>
      <c r="J436" s="30">
        <f t="shared" si="151"/>
        <v>0</v>
      </c>
      <c r="K436" s="30" t="str">
        <f t="shared" si="152"/>
        <v/>
      </c>
      <c r="L436" s="30">
        <f t="shared" ref="L436:L499" si="153">+H436+G436+F436+E436+D436</f>
        <v>0</v>
      </c>
      <c r="M436" s="30"/>
    </row>
    <row r="437" spans="2:13" x14ac:dyDescent="0.25">
      <c r="B437" s="2" t="str">
        <f t="shared" si="145"/>
        <v/>
      </c>
      <c r="C437" s="30" t="str">
        <f t="shared" si="146"/>
        <v/>
      </c>
      <c r="D437" s="30">
        <f t="shared" si="147"/>
        <v>0</v>
      </c>
      <c r="E437" s="30">
        <f t="shared" si="148"/>
        <v>0</v>
      </c>
      <c r="F437" s="2">
        <f t="shared" si="149"/>
        <v>0</v>
      </c>
      <c r="G437" s="30">
        <f t="shared" si="150"/>
        <v>0</v>
      </c>
      <c r="J437" s="30">
        <f t="shared" si="151"/>
        <v>0</v>
      </c>
      <c r="K437" s="30" t="str">
        <f t="shared" si="152"/>
        <v/>
      </c>
      <c r="L437" s="30">
        <f t="shared" si="153"/>
        <v>0</v>
      </c>
      <c r="M437" s="30"/>
    </row>
    <row r="438" spans="2:13" x14ac:dyDescent="0.25">
      <c r="B438" s="2" t="str">
        <f t="shared" si="145"/>
        <v/>
      </c>
      <c r="C438" s="30" t="str">
        <f t="shared" si="146"/>
        <v/>
      </c>
      <c r="D438" s="30">
        <f t="shared" si="147"/>
        <v>0</v>
      </c>
      <c r="E438" s="30">
        <f t="shared" si="148"/>
        <v>0</v>
      </c>
      <c r="F438" s="2">
        <f t="shared" si="149"/>
        <v>0</v>
      </c>
      <c r="G438" s="30">
        <f t="shared" si="150"/>
        <v>0</v>
      </c>
      <c r="J438" s="30">
        <f t="shared" si="151"/>
        <v>0</v>
      </c>
      <c r="K438" s="30" t="str">
        <f t="shared" si="152"/>
        <v/>
      </c>
      <c r="L438" s="30">
        <f t="shared" si="153"/>
        <v>0</v>
      </c>
      <c r="M438" s="30"/>
    </row>
    <row r="439" spans="2:13" x14ac:dyDescent="0.25">
      <c r="B439" s="2" t="str">
        <f t="shared" si="145"/>
        <v/>
      </c>
      <c r="C439" s="30" t="str">
        <f t="shared" si="146"/>
        <v/>
      </c>
      <c r="D439" s="30">
        <f t="shared" si="147"/>
        <v>0</v>
      </c>
      <c r="E439" s="30">
        <f t="shared" si="148"/>
        <v>0</v>
      </c>
      <c r="F439" s="2">
        <f t="shared" si="149"/>
        <v>0</v>
      </c>
      <c r="G439" s="30">
        <f t="shared" si="150"/>
        <v>0</v>
      </c>
      <c r="J439" s="30">
        <f t="shared" si="151"/>
        <v>0</v>
      </c>
      <c r="K439" s="30" t="str">
        <f t="shared" si="152"/>
        <v/>
      </c>
      <c r="L439" s="30">
        <f t="shared" si="153"/>
        <v>0</v>
      </c>
      <c r="M439" s="30"/>
    </row>
    <row r="440" spans="2:13" x14ac:dyDescent="0.25">
      <c r="B440" s="2" t="str">
        <f t="shared" si="145"/>
        <v/>
      </c>
      <c r="C440" s="30" t="str">
        <f t="shared" si="146"/>
        <v/>
      </c>
      <c r="D440" s="30">
        <f t="shared" si="147"/>
        <v>0</v>
      </c>
      <c r="E440" s="30">
        <f t="shared" si="148"/>
        <v>0</v>
      </c>
      <c r="F440" s="2">
        <f t="shared" si="149"/>
        <v>0</v>
      </c>
      <c r="G440" s="30">
        <f t="shared" si="150"/>
        <v>0</v>
      </c>
      <c r="J440" s="30">
        <f t="shared" si="151"/>
        <v>0</v>
      </c>
      <c r="K440" s="30" t="str">
        <f t="shared" si="152"/>
        <v/>
      </c>
      <c r="L440" s="30">
        <f t="shared" si="153"/>
        <v>0</v>
      </c>
      <c r="M440" s="30"/>
    </row>
    <row r="441" spans="2:13" x14ac:dyDescent="0.25">
      <c r="B441" s="2" t="str">
        <f t="shared" si="145"/>
        <v/>
      </c>
      <c r="C441" s="30" t="str">
        <f t="shared" si="146"/>
        <v/>
      </c>
      <c r="D441" s="30">
        <f t="shared" si="147"/>
        <v>0</v>
      </c>
      <c r="E441" s="30">
        <f t="shared" si="148"/>
        <v>0</v>
      </c>
      <c r="F441" s="2">
        <f t="shared" si="149"/>
        <v>0</v>
      </c>
      <c r="G441" s="30">
        <f t="shared" si="150"/>
        <v>0</v>
      </c>
      <c r="J441" s="30">
        <f t="shared" si="151"/>
        <v>0</v>
      </c>
      <c r="K441" s="30" t="str">
        <f t="shared" si="152"/>
        <v/>
      </c>
      <c r="L441" s="30">
        <f t="shared" si="153"/>
        <v>0</v>
      </c>
      <c r="M441" s="30"/>
    </row>
    <row r="442" spans="2:13" x14ac:dyDescent="0.25">
      <c r="B442" s="2" t="str">
        <f t="shared" si="145"/>
        <v/>
      </c>
      <c r="C442" s="30" t="str">
        <f t="shared" si="146"/>
        <v/>
      </c>
      <c r="D442" s="30">
        <f t="shared" si="147"/>
        <v>0</v>
      </c>
      <c r="E442" s="30">
        <f t="shared" si="148"/>
        <v>0</v>
      </c>
      <c r="F442" s="2">
        <f t="shared" si="149"/>
        <v>0</v>
      </c>
      <c r="G442" s="30">
        <f t="shared" si="150"/>
        <v>0</v>
      </c>
      <c r="J442" s="30">
        <f t="shared" si="151"/>
        <v>0</v>
      </c>
      <c r="K442" s="30" t="str">
        <f t="shared" si="152"/>
        <v/>
      </c>
      <c r="L442" s="30">
        <f t="shared" si="153"/>
        <v>0</v>
      </c>
      <c r="M442" s="30"/>
    </row>
    <row r="443" spans="2:13" x14ac:dyDescent="0.25">
      <c r="B443" s="2" t="str">
        <f t="shared" si="145"/>
        <v/>
      </c>
      <c r="C443" s="30" t="str">
        <f t="shared" si="146"/>
        <v/>
      </c>
      <c r="D443" s="30">
        <f t="shared" si="147"/>
        <v>0</v>
      </c>
      <c r="E443" s="30">
        <f t="shared" si="148"/>
        <v>0</v>
      </c>
      <c r="F443" s="2">
        <f t="shared" si="149"/>
        <v>0</v>
      </c>
      <c r="G443" s="30">
        <f t="shared" si="150"/>
        <v>0</v>
      </c>
      <c r="J443" s="30">
        <f t="shared" si="151"/>
        <v>0</v>
      </c>
      <c r="K443" s="30" t="str">
        <f t="shared" si="152"/>
        <v/>
      </c>
      <c r="L443" s="30">
        <f t="shared" si="153"/>
        <v>0</v>
      </c>
      <c r="M443" s="30"/>
    </row>
    <row r="444" spans="2:13" x14ac:dyDescent="0.25">
      <c r="B444" s="2" t="str">
        <f t="shared" si="145"/>
        <v/>
      </c>
      <c r="C444" s="30" t="str">
        <f t="shared" si="146"/>
        <v/>
      </c>
      <c r="D444" s="30">
        <f t="shared" si="147"/>
        <v>0</v>
      </c>
      <c r="E444" s="30">
        <f t="shared" si="148"/>
        <v>0</v>
      </c>
      <c r="F444" s="2">
        <f t="shared" si="149"/>
        <v>0</v>
      </c>
      <c r="G444" s="30">
        <f t="shared" si="150"/>
        <v>0</v>
      </c>
      <c r="J444" s="30">
        <f t="shared" si="151"/>
        <v>0</v>
      </c>
      <c r="K444" s="30" t="str">
        <f t="shared" si="152"/>
        <v/>
      </c>
      <c r="L444" s="30">
        <f t="shared" si="153"/>
        <v>0</v>
      </c>
      <c r="M444" s="30"/>
    </row>
    <row r="445" spans="2:13" x14ac:dyDescent="0.25">
      <c r="B445" s="2" t="str">
        <f t="shared" si="145"/>
        <v/>
      </c>
      <c r="C445" s="30" t="str">
        <f t="shared" si="146"/>
        <v/>
      </c>
      <c r="D445" s="30">
        <f t="shared" si="147"/>
        <v>0</v>
      </c>
      <c r="E445" s="30">
        <f t="shared" si="148"/>
        <v>0</v>
      </c>
      <c r="F445" s="2">
        <f t="shared" si="149"/>
        <v>0</v>
      </c>
      <c r="G445" s="30">
        <f t="shared" si="150"/>
        <v>0</v>
      </c>
      <c r="J445" s="30">
        <f t="shared" si="151"/>
        <v>0</v>
      </c>
      <c r="K445" s="30" t="str">
        <f t="shared" si="152"/>
        <v/>
      </c>
      <c r="L445" s="30">
        <f t="shared" si="153"/>
        <v>0</v>
      </c>
      <c r="M445" s="30"/>
    </row>
    <row r="446" spans="2:13" x14ac:dyDescent="0.25">
      <c r="B446" s="2" t="str">
        <f t="shared" si="145"/>
        <v/>
      </c>
      <c r="C446" s="30" t="str">
        <f t="shared" si="146"/>
        <v/>
      </c>
      <c r="D446" s="30">
        <f t="shared" si="147"/>
        <v>0</v>
      </c>
      <c r="E446" s="30">
        <f t="shared" si="148"/>
        <v>0</v>
      </c>
      <c r="F446" s="2">
        <f t="shared" si="149"/>
        <v>0</v>
      </c>
      <c r="G446" s="30">
        <f t="shared" si="150"/>
        <v>0</v>
      </c>
      <c r="J446" s="30">
        <f t="shared" si="151"/>
        <v>0</v>
      </c>
      <c r="K446" s="30" t="str">
        <f t="shared" si="152"/>
        <v/>
      </c>
      <c r="L446" s="30">
        <f t="shared" si="153"/>
        <v>0</v>
      </c>
      <c r="M446" s="30"/>
    </row>
    <row r="447" spans="2:13" x14ac:dyDescent="0.25">
      <c r="B447" s="2" t="str">
        <f t="shared" si="145"/>
        <v/>
      </c>
      <c r="C447" s="30" t="str">
        <f t="shared" si="146"/>
        <v/>
      </c>
      <c r="D447" s="30">
        <f t="shared" si="147"/>
        <v>0</v>
      </c>
      <c r="E447" s="30">
        <f t="shared" si="148"/>
        <v>0</v>
      </c>
      <c r="F447" s="2">
        <f t="shared" si="149"/>
        <v>0</v>
      </c>
      <c r="G447" s="30">
        <f t="shared" si="150"/>
        <v>0</v>
      </c>
      <c r="J447" s="30">
        <f t="shared" si="151"/>
        <v>0</v>
      </c>
      <c r="K447" s="30" t="str">
        <f t="shared" si="152"/>
        <v/>
      </c>
      <c r="L447" s="30">
        <f t="shared" si="153"/>
        <v>0</v>
      </c>
      <c r="M447" s="30"/>
    </row>
    <row r="448" spans="2:13" x14ac:dyDescent="0.25">
      <c r="B448" s="2" t="str">
        <f t="shared" si="145"/>
        <v/>
      </c>
      <c r="C448" s="30" t="str">
        <f t="shared" si="146"/>
        <v/>
      </c>
      <c r="D448" s="30">
        <f t="shared" si="147"/>
        <v>0</v>
      </c>
      <c r="E448" s="30">
        <f t="shared" si="148"/>
        <v>0</v>
      </c>
      <c r="F448" s="2">
        <f t="shared" si="149"/>
        <v>0</v>
      </c>
      <c r="G448" s="30">
        <f t="shared" si="150"/>
        <v>0</v>
      </c>
      <c r="J448" s="30">
        <f t="shared" si="151"/>
        <v>0</v>
      </c>
      <c r="K448" s="30" t="str">
        <f t="shared" si="152"/>
        <v/>
      </c>
      <c r="L448" s="30">
        <f t="shared" si="153"/>
        <v>0</v>
      </c>
      <c r="M448" s="30"/>
    </row>
    <row r="449" spans="2:13" x14ac:dyDescent="0.25">
      <c r="B449" s="2" t="str">
        <f t="shared" si="145"/>
        <v/>
      </c>
      <c r="C449" s="30" t="str">
        <f t="shared" si="146"/>
        <v/>
      </c>
      <c r="D449" s="30">
        <f t="shared" si="147"/>
        <v>0</v>
      </c>
      <c r="E449" s="30">
        <f t="shared" si="148"/>
        <v>0</v>
      </c>
      <c r="F449" s="2">
        <f t="shared" si="149"/>
        <v>0</v>
      </c>
      <c r="G449" s="30">
        <f t="shared" si="150"/>
        <v>0</v>
      </c>
      <c r="J449" s="30">
        <f t="shared" si="151"/>
        <v>0</v>
      </c>
      <c r="K449" s="30" t="str">
        <f t="shared" si="152"/>
        <v/>
      </c>
      <c r="L449" s="30">
        <f t="shared" si="153"/>
        <v>0</v>
      </c>
      <c r="M449" s="30"/>
    </row>
    <row r="450" spans="2:13" x14ac:dyDescent="0.25">
      <c r="B450" s="2" t="str">
        <f t="shared" si="145"/>
        <v/>
      </c>
      <c r="C450" s="30" t="str">
        <f t="shared" si="146"/>
        <v/>
      </c>
      <c r="D450" s="30">
        <f t="shared" si="147"/>
        <v>0</v>
      </c>
      <c r="E450" s="30">
        <f t="shared" si="148"/>
        <v>0</v>
      </c>
      <c r="F450" s="2">
        <f t="shared" si="149"/>
        <v>0</v>
      </c>
      <c r="G450" s="30">
        <f t="shared" si="150"/>
        <v>0</v>
      </c>
      <c r="J450" s="30">
        <f t="shared" si="151"/>
        <v>0</v>
      </c>
      <c r="K450" s="30" t="str">
        <f t="shared" si="152"/>
        <v/>
      </c>
      <c r="L450" s="30">
        <f t="shared" si="153"/>
        <v>0</v>
      </c>
      <c r="M450" s="30"/>
    </row>
    <row r="451" spans="2:13" x14ac:dyDescent="0.25">
      <c r="B451" s="2" t="str">
        <f t="shared" si="145"/>
        <v/>
      </c>
      <c r="C451" s="30" t="str">
        <f t="shared" si="146"/>
        <v/>
      </c>
      <c r="D451" s="30">
        <f t="shared" si="147"/>
        <v>0</v>
      </c>
      <c r="E451" s="30">
        <f t="shared" si="148"/>
        <v>0</v>
      </c>
      <c r="F451" s="2">
        <f t="shared" si="149"/>
        <v>0</v>
      </c>
      <c r="G451" s="30">
        <f t="shared" si="150"/>
        <v>0</v>
      </c>
      <c r="J451" s="30">
        <f t="shared" si="151"/>
        <v>0</v>
      </c>
      <c r="K451" s="30" t="str">
        <f t="shared" si="152"/>
        <v/>
      </c>
      <c r="L451" s="30">
        <f t="shared" si="153"/>
        <v>0</v>
      </c>
      <c r="M451" s="30"/>
    </row>
    <row r="452" spans="2:13" x14ac:dyDescent="0.25">
      <c r="B452" s="2" t="str">
        <f t="shared" si="145"/>
        <v/>
      </c>
      <c r="C452" s="30" t="str">
        <f t="shared" si="146"/>
        <v/>
      </c>
      <c r="D452" s="30">
        <f t="shared" si="147"/>
        <v>0</v>
      </c>
      <c r="E452" s="30">
        <f t="shared" si="148"/>
        <v>0</v>
      </c>
      <c r="F452" s="2">
        <f t="shared" si="149"/>
        <v>0</v>
      </c>
      <c r="G452" s="30">
        <f t="shared" si="150"/>
        <v>0</v>
      </c>
      <c r="J452" s="30">
        <f t="shared" si="151"/>
        <v>0</v>
      </c>
      <c r="K452" s="30" t="str">
        <f t="shared" si="152"/>
        <v/>
      </c>
      <c r="L452" s="30">
        <f t="shared" si="153"/>
        <v>0</v>
      </c>
      <c r="M452" s="30"/>
    </row>
    <row r="453" spans="2:13" x14ac:dyDescent="0.25">
      <c r="B453" s="2" t="str">
        <f t="shared" si="145"/>
        <v/>
      </c>
      <c r="C453" s="30" t="str">
        <f t="shared" si="146"/>
        <v/>
      </c>
      <c r="D453" s="30">
        <f t="shared" si="147"/>
        <v>0</v>
      </c>
      <c r="E453" s="30">
        <f t="shared" si="148"/>
        <v>0</v>
      </c>
      <c r="F453" s="2">
        <f t="shared" si="149"/>
        <v>0</v>
      </c>
      <c r="G453" s="30">
        <f t="shared" si="150"/>
        <v>0</v>
      </c>
      <c r="J453" s="30">
        <f t="shared" si="151"/>
        <v>0</v>
      </c>
      <c r="K453" s="30" t="str">
        <f t="shared" si="152"/>
        <v/>
      </c>
      <c r="L453" s="30">
        <f t="shared" si="153"/>
        <v>0</v>
      </c>
      <c r="M453" s="30"/>
    </row>
    <row r="454" spans="2:13" x14ac:dyDescent="0.25">
      <c r="B454" s="2" t="str">
        <f t="shared" si="145"/>
        <v/>
      </c>
      <c r="C454" s="30" t="str">
        <f t="shared" si="146"/>
        <v/>
      </c>
      <c r="D454" s="30">
        <f t="shared" si="147"/>
        <v>0</v>
      </c>
      <c r="E454" s="30">
        <f t="shared" si="148"/>
        <v>0</v>
      </c>
      <c r="F454" s="2">
        <f t="shared" si="149"/>
        <v>0</v>
      </c>
      <c r="G454" s="30">
        <f t="shared" si="150"/>
        <v>0</v>
      </c>
      <c r="J454" s="30">
        <f t="shared" si="151"/>
        <v>0</v>
      </c>
      <c r="K454" s="30" t="str">
        <f t="shared" si="152"/>
        <v/>
      </c>
      <c r="L454" s="30">
        <f t="shared" si="153"/>
        <v>0</v>
      </c>
      <c r="M454" s="30"/>
    </row>
    <row r="455" spans="2:13" x14ac:dyDescent="0.25">
      <c r="B455" s="2" t="str">
        <f t="shared" si="145"/>
        <v/>
      </c>
      <c r="C455" s="30" t="str">
        <f t="shared" si="146"/>
        <v/>
      </c>
      <c r="D455" s="30">
        <f t="shared" si="147"/>
        <v>0</v>
      </c>
      <c r="E455" s="30">
        <f t="shared" si="148"/>
        <v>0</v>
      </c>
      <c r="F455" s="2">
        <f t="shared" si="149"/>
        <v>0</v>
      </c>
      <c r="G455" s="30">
        <f t="shared" si="150"/>
        <v>0</v>
      </c>
      <c r="J455" s="30">
        <f t="shared" si="151"/>
        <v>0</v>
      </c>
      <c r="K455" s="30" t="str">
        <f t="shared" si="152"/>
        <v/>
      </c>
      <c r="L455" s="30">
        <f t="shared" si="153"/>
        <v>0</v>
      </c>
      <c r="M455" s="30"/>
    </row>
    <row r="456" spans="2:13" x14ac:dyDescent="0.25">
      <c r="B456" s="2" t="str">
        <f t="shared" si="145"/>
        <v/>
      </c>
      <c r="C456" s="30" t="str">
        <f t="shared" si="146"/>
        <v/>
      </c>
      <c r="D456" s="30">
        <f t="shared" si="147"/>
        <v>0</v>
      </c>
      <c r="E456" s="30">
        <f t="shared" si="148"/>
        <v>0</v>
      </c>
      <c r="F456" s="2">
        <f t="shared" si="149"/>
        <v>0</v>
      </c>
      <c r="G456" s="30">
        <f t="shared" si="150"/>
        <v>0</v>
      </c>
      <c r="J456" s="30">
        <f t="shared" si="151"/>
        <v>0</v>
      </c>
      <c r="K456" s="30" t="str">
        <f t="shared" si="152"/>
        <v/>
      </c>
      <c r="L456" s="30">
        <f t="shared" si="153"/>
        <v>0</v>
      </c>
      <c r="M456" s="30"/>
    </row>
    <row r="457" spans="2:13" x14ac:dyDescent="0.25">
      <c r="B457" s="2" t="str">
        <f t="shared" si="145"/>
        <v/>
      </c>
      <c r="C457" s="30" t="str">
        <f t="shared" si="146"/>
        <v/>
      </c>
      <c r="D457" s="30">
        <f t="shared" si="147"/>
        <v>0</v>
      </c>
      <c r="E457" s="30">
        <f t="shared" si="148"/>
        <v>0</v>
      </c>
      <c r="F457" s="2">
        <f t="shared" si="149"/>
        <v>0</v>
      </c>
      <c r="G457" s="30">
        <f t="shared" si="150"/>
        <v>0</v>
      </c>
      <c r="J457" s="30">
        <f t="shared" si="151"/>
        <v>0</v>
      </c>
      <c r="K457" s="30" t="str">
        <f t="shared" si="152"/>
        <v/>
      </c>
      <c r="L457" s="30">
        <f t="shared" si="153"/>
        <v>0</v>
      </c>
      <c r="M457" s="30"/>
    </row>
    <row r="458" spans="2:13" x14ac:dyDescent="0.25">
      <c r="B458" s="2" t="str">
        <f t="shared" si="145"/>
        <v/>
      </c>
      <c r="C458" s="30" t="str">
        <f t="shared" si="146"/>
        <v/>
      </c>
      <c r="D458" s="30">
        <f t="shared" si="147"/>
        <v>0</v>
      </c>
      <c r="E458" s="30">
        <f t="shared" si="148"/>
        <v>0</v>
      </c>
      <c r="F458" s="2">
        <f t="shared" si="149"/>
        <v>0</v>
      </c>
      <c r="G458" s="30">
        <f t="shared" si="150"/>
        <v>0</v>
      </c>
      <c r="J458" s="30">
        <f t="shared" si="151"/>
        <v>0</v>
      </c>
      <c r="K458" s="30" t="str">
        <f t="shared" si="152"/>
        <v/>
      </c>
      <c r="L458" s="30">
        <f t="shared" si="153"/>
        <v>0</v>
      </c>
      <c r="M458" s="30"/>
    </row>
    <row r="459" spans="2:13" x14ac:dyDescent="0.25">
      <c r="B459" s="2" t="str">
        <f t="shared" si="145"/>
        <v/>
      </c>
      <c r="C459" s="30" t="str">
        <f t="shared" si="146"/>
        <v/>
      </c>
      <c r="D459" s="30">
        <f t="shared" si="147"/>
        <v>0</v>
      </c>
      <c r="E459" s="30">
        <f t="shared" si="148"/>
        <v>0</v>
      </c>
      <c r="F459" s="2">
        <f t="shared" si="149"/>
        <v>0</v>
      </c>
      <c r="G459" s="30">
        <f t="shared" si="150"/>
        <v>0</v>
      </c>
      <c r="J459" s="30">
        <f t="shared" si="151"/>
        <v>0</v>
      </c>
      <c r="K459" s="30" t="str">
        <f t="shared" si="152"/>
        <v/>
      </c>
      <c r="L459" s="30">
        <f t="shared" si="153"/>
        <v>0</v>
      </c>
      <c r="M459" s="30"/>
    </row>
    <row r="460" spans="2:13" x14ac:dyDescent="0.25">
      <c r="B460" s="2" t="str">
        <f t="shared" si="145"/>
        <v/>
      </c>
      <c r="C460" s="30" t="str">
        <f t="shared" si="146"/>
        <v/>
      </c>
      <c r="D460" s="30">
        <f t="shared" si="147"/>
        <v>0</v>
      </c>
      <c r="E460" s="30">
        <f t="shared" si="148"/>
        <v>0</v>
      </c>
      <c r="F460" s="2">
        <f t="shared" si="149"/>
        <v>0</v>
      </c>
      <c r="G460" s="30">
        <f t="shared" si="150"/>
        <v>0</v>
      </c>
      <c r="J460" s="30">
        <f t="shared" si="151"/>
        <v>0</v>
      </c>
      <c r="K460" s="30" t="str">
        <f t="shared" si="152"/>
        <v/>
      </c>
      <c r="L460" s="30">
        <f t="shared" si="153"/>
        <v>0</v>
      </c>
      <c r="M460" s="30"/>
    </row>
    <row r="461" spans="2:13" x14ac:dyDescent="0.25">
      <c r="B461" s="2" t="str">
        <f t="shared" ref="B461:B502" si="154">+IF(K460&gt;1,IF(B460="","",B460+1),"")</f>
        <v/>
      </c>
      <c r="C461" s="30" t="str">
        <f t="shared" ref="C461:C502" si="155">+IF(B461="","",K460)</f>
        <v/>
      </c>
      <c r="D461" s="30">
        <f t="shared" ref="D461:D501" si="156">+IF(B461="",0,-IPMT($C$5/12,B461,$C$6,$C$7))</f>
        <v>0</v>
      </c>
      <c r="E461" s="30">
        <f t="shared" ref="E461:E501" si="157">+IF(B461="",0,-PPMT($C$5/12,B461,$C$6,$C$7))</f>
        <v>0</v>
      </c>
      <c r="F461" s="2">
        <f t="shared" ref="F461:F501" si="158">+IF(B461="",0,$G$4)</f>
        <v>0</v>
      </c>
      <c r="G461" s="30">
        <f t="shared" ref="G461:G501" si="159">+IF(B461="",0,IF(C461&lt;$C$4*0.8,0,$G$5))</f>
        <v>0</v>
      </c>
      <c r="J461" s="30">
        <f t="shared" ref="J461:J501" si="160">+IF(B461="",0,E461+H461)</f>
        <v>0</v>
      </c>
      <c r="K461" s="30" t="str">
        <f t="shared" ref="K461:K501" si="161">+IF(B461="","",C461-J461)</f>
        <v/>
      </c>
      <c r="L461" s="30">
        <f t="shared" si="153"/>
        <v>0</v>
      </c>
      <c r="M461" s="30"/>
    </row>
    <row r="462" spans="2:13" x14ac:dyDescent="0.25">
      <c r="B462" s="2" t="str">
        <f t="shared" si="154"/>
        <v/>
      </c>
      <c r="C462" s="30" t="str">
        <f t="shared" si="155"/>
        <v/>
      </c>
      <c r="D462" s="30">
        <f t="shared" si="156"/>
        <v>0</v>
      </c>
      <c r="E462" s="30">
        <f t="shared" si="157"/>
        <v>0</v>
      </c>
      <c r="F462" s="2">
        <f t="shared" si="158"/>
        <v>0</v>
      </c>
      <c r="G462" s="30">
        <f t="shared" si="159"/>
        <v>0</v>
      </c>
      <c r="J462" s="30">
        <f t="shared" si="160"/>
        <v>0</v>
      </c>
      <c r="K462" s="30" t="str">
        <f t="shared" si="161"/>
        <v/>
      </c>
      <c r="L462" s="30">
        <f t="shared" si="153"/>
        <v>0</v>
      </c>
      <c r="M462" s="30"/>
    </row>
    <row r="463" spans="2:13" x14ac:dyDescent="0.25">
      <c r="B463" s="2" t="str">
        <f t="shared" si="154"/>
        <v/>
      </c>
      <c r="C463" s="30" t="str">
        <f t="shared" si="155"/>
        <v/>
      </c>
      <c r="D463" s="30">
        <f t="shared" si="156"/>
        <v>0</v>
      </c>
      <c r="E463" s="30">
        <f t="shared" si="157"/>
        <v>0</v>
      </c>
      <c r="F463" s="2">
        <f t="shared" si="158"/>
        <v>0</v>
      </c>
      <c r="G463" s="30">
        <f t="shared" si="159"/>
        <v>0</v>
      </c>
      <c r="J463" s="30">
        <f t="shared" si="160"/>
        <v>0</v>
      </c>
      <c r="K463" s="30" t="str">
        <f t="shared" si="161"/>
        <v/>
      </c>
      <c r="L463" s="30">
        <f t="shared" si="153"/>
        <v>0</v>
      </c>
      <c r="M463" s="30"/>
    </row>
    <row r="464" spans="2:13" x14ac:dyDescent="0.25">
      <c r="B464" s="2" t="str">
        <f t="shared" si="154"/>
        <v/>
      </c>
      <c r="C464" s="30" t="str">
        <f t="shared" si="155"/>
        <v/>
      </c>
      <c r="D464" s="30">
        <f t="shared" si="156"/>
        <v>0</v>
      </c>
      <c r="E464" s="30">
        <f t="shared" si="157"/>
        <v>0</v>
      </c>
      <c r="F464" s="2">
        <f t="shared" si="158"/>
        <v>0</v>
      </c>
      <c r="G464" s="30">
        <f t="shared" si="159"/>
        <v>0</v>
      </c>
      <c r="J464" s="30">
        <f t="shared" si="160"/>
        <v>0</v>
      </c>
      <c r="K464" s="30" t="str">
        <f t="shared" si="161"/>
        <v/>
      </c>
      <c r="L464" s="30">
        <f t="shared" si="153"/>
        <v>0</v>
      </c>
      <c r="M464" s="30"/>
    </row>
    <row r="465" spans="2:13" x14ac:dyDescent="0.25">
      <c r="B465" s="2" t="str">
        <f t="shared" si="154"/>
        <v/>
      </c>
      <c r="C465" s="30" t="str">
        <f t="shared" si="155"/>
        <v/>
      </c>
      <c r="D465" s="30">
        <f t="shared" si="156"/>
        <v>0</v>
      </c>
      <c r="E465" s="30">
        <f t="shared" si="157"/>
        <v>0</v>
      </c>
      <c r="F465" s="2">
        <f t="shared" si="158"/>
        <v>0</v>
      </c>
      <c r="G465" s="30">
        <f t="shared" si="159"/>
        <v>0</v>
      </c>
      <c r="J465" s="30">
        <f t="shared" si="160"/>
        <v>0</v>
      </c>
      <c r="K465" s="30" t="str">
        <f t="shared" si="161"/>
        <v/>
      </c>
      <c r="L465" s="30">
        <f t="shared" si="153"/>
        <v>0</v>
      </c>
      <c r="M465" s="30"/>
    </row>
    <row r="466" spans="2:13" x14ac:dyDescent="0.25">
      <c r="B466" s="2" t="str">
        <f t="shared" si="154"/>
        <v/>
      </c>
      <c r="C466" s="30" t="str">
        <f t="shared" si="155"/>
        <v/>
      </c>
      <c r="D466" s="30">
        <f t="shared" si="156"/>
        <v>0</v>
      </c>
      <c r="E466" s="30">
        <f t="shared" si="157"/>
        <v>0</v>
      </c>
      <c r="F466" s="2">
        <f t="shared" si="158"/>
        <v>0</v>
      </c>
      <c r="G466" s="30">
        <f t="shared" si="159"/>
        <v>0</v>
      </c>
      <c r="J466" s="30">
        <f t="shared" si="160"/>
        <v>0</v>
      </c>
      <c r="K466" s="30" t="str">
        <f t="shared" si="161"/>
        <v/>
      </c>
      <c r="L466" s="30">
        <f t="shared" si="153"/>
        <v>0</v>
      </c>
      <c r="M466" s="30"/>
    </row>
    <row r="467" spans="2:13" x14ac:dyDescent="0.25">
      <c r="B467" s="2" t="str">
        <f t="shared" si="154"/>
        <v/>
      </c>
      <c r="C467" s="30" t="str">
        <f t="shared" si="155"/>
        <v/>
      </c>
      <c r="D467" s="30">
        <f t="shared" si="156"/>
        <v>0</v>
      </c>
      <c r="E467" s="30">
        <f t="shared" si="157"/>
        <v>0</v>
      </c>
      <c r="F467" s="2">
        <f t="shared" si="158"/>
        <v>0</v>
      </c>
      <c r="G467" s="30">
        <f t="shared" si="159"/>
        <v>0</v>
      </c>
      <c r="J467" s="30">
        <f t="shared" si="160"/>
        <v>0</v>
      </c>
      <c r="K467" s="30" t="str">
        <f t="shared" si="161"/>
        <v/>
      </c>
      <c r="L467" s="30">
        <f t="shared" si="153"/>
        <v>0</v>
      </c>
      <c r="M467" s="30"/>
    </row>
    <row r="468" spans="2:13" x14ac:dyDescent="0.25">
      <c r="B468" s="2" t="str">
        <f t="shared" si="154"/>
        <v/>
      </c>
      <c r="C468" s="30" t="str">
        <f t="shared" si="155"/>
        <v/>
      </c>
      <c r="D468" s="30">
        <f t="shared" si="156"/>
        <v>0</v>
      </c>
      <c r="E468" s="30">
        <f t="shared" si="157"/>
        <v>0</v>
      </c>
      <c r="F468" s="2">
        <f t="shared" si="158"/>
        <v>0</v>
      </c>
      <c r="G468" s="30">
        <f t="shared" si="159"/>
        <v>0</v>
      </c>
      <c r="J468" s="30">
        <f t="shared" si="160"/>
        <v>0</v>
      </c>
      <c r="K468" s="30" t="str">
        <f t="shared" si="161"/>
        <v/>
      </c>
      <c r="L468" s="30">
        <f t="shared" si="153"/>
        <v>0</v>
      </c>
      <c r="M468" s="30"/>
    </row>
    <row r="469" spans="2:13" x14ac:dyDescent="0.25">
      <c r="B469" s="2" t="str">
        <f t="shared" si="154"/>
        <v/>
      </c>
      <c r="C469" s="30" t="str">
        <f t="shared" si="155"/>
        <v/>
      </c>
      <c r="D469" s="30">
        <f t="shared" si="156"/>
        <v>0</v>
      </c>
      <c r="E469" s="30">
        <f t="shared" si="157"/>
        <v>0</v>
      </c>
      <c r="F469" s="2">
        <f t="shared" si="158"/>
        <v>0</v>
      </c>
      <c r="G469" s="30">
        <f t="shared" si="159"/>
        <v>0</v>
      </c>
      <c r="J469" s="30">
        <f t="shared" si="160"/>
        <v>0</v>
      </c>
      <c r="K469" s="30" t="str">
        <f t="shared" si="161"/>
        <v/>
      </c>
      <c r="L469" s="30">
        <f t="shared" si="153"/>
        <v>0</v>
      </c>
      <c r="M469" s="30"/>
    </row>
    <row r="470" spans="2:13" x14ac:dyDescent="0.25">
      <c r="B470" s="2" t="str">
        <f t="shared" si="154"/>
        <v/>
      </c>
      <c r="C470" s="30" t="str">
        <f t="shared" si="155"/>
        <v/>
      </c>
      <c r="D470" s="30">
        <f t="shared" si="156"/>
        <v>0</v>
      </c>
      <c r="E470" s="30">
        <f t="shared" si="157"/>
        <v>0</v>
      </c>
      <c r="F470" s="2">
        <f t="shared" si="158"/>
        <v>0</v>
      </c>
      <c r="G470" s="30">
        <f t="shared" si="159"/>
        <v>0</v>
      </c>
      <c r="J470" s="30">
        <f t="shared" si="160"/>
        <v>0</v>
      </c>
      <c r="K470" s="30" t="str">
        <f t="shared" si="161"/>
        <v/>
      </c>
      <c r="L470" s="30">
        <f t="shared" si="153"/>
        <v>0</v>
      </c>
      <c r="M470" s="30"/>
    </row>
    <row r="471" spans="2:13" x14ac:dyDescent="0.25">
      <c r="B471" s="2" t="str">
        <f t="shared" si="154"/>
        <v/>
      </c>
      <c r="C471" s="30" t="str">
        <f t="shared" si="155"/>
        <v/>
      </c>
      <c r="D471" s="30">
        <f t="shared" si="156"/>
        <v>0</v>
      </c>
      <c r="E471" s="30">
        <f t="shared" si="157"/>
        <v>0</v>
      </c>
      <c r="F471" s="2">
        <f t="shared" si="158"/>
        <v>0</v>
      </c>
      <c r="G471" s="30">
        <f t="shared" si="159"/>
        <v>0</v>
      </c>
      <c r="J471" s="30">
        <f t="shared" si="160"/>
        <v>0</v>
      </c>
      <c r="K471" s="30" t="str">
        <f t="shared" si="161"/>
        <v/>
      </c>
      <c r="L471" s="30">
        <f t="shared" si="153"/>
        <v>0</v>
      </c>
      <c r="M471" s="30"/>
    </row>
    <row r="472" spans="2:13" x14ac:dyDescent="0.25">
      <c r="B472" s="2" t="str">
        <f t="shared" si="154"/>
        <v/>
      </c>
      <c r="C472" s="30" t="str">
        <f t="shared" si="155"/>
        <v/>
      </c>
      <c r="D472" s="30">
        <f t="shared" si="156"/>
        <v>0</v>
      </c>
      <c r="E472" s="30">
        <f t="shared" si="157"/>
        <v>0</v>
      </c>
      <c r="F472" s="2">
        <f t="shared" si="158"/>
        <v>0</v>
      </c>
      <c r="G472" s="30">
        <f t="shared" si="159"/>
        <v>0</v>
      </c>
      <c r="J472" s="30">
        <f t="shared" si="160"/>
        <v>0</v>
      </c>
      <c r="K472" s="30" t="str">
        <f t="shared" si="161"/>
        <v/>
      </c>
      <c r="L472" s="30">
        <f t="shared" si="153"/>
        <v>0</v>
      </c>
      <c r="M472" s="30"/>
    </row>
    <row r="473" spans="2:13" x14ac:dyDescent="0.25">
      <c r="B473" s="2" t="str">
        <f t="shared" si="154"/>
        <v/>
      </c>
      <c r="C473" s="30" t="str">
        <f t="shared" si="155"/>
        <v/>
      </c>
      <c r="D473" s="30">
        <f t="shared" si="156"/>
        <v>0</v>
      </c>
      <c r="E473" s="30">
        <f t="shared" si="157"/>
        <v>0</v>
      </c>
      <c r="F473" s="2">
        <f t="shared" si="158"/>
        <v>0</v>
      </c>
      <c r="G473" s="30">
        <f t="shared" si="159"/>
        <v>0</v>
      </c>
      <c r="J473" s="30">
        <f t="shared" si="160"/>
        <v>0</v>
      </c>
      <c r="K473" s="30" t="str">
        <f t="shared" si="161"/>
        <v/>
      </c>
      <c r="L473" s="30">
        <f t="shared" si="153"/>
        <v>0</v>
      </c>
      <c r="M473" s="30"/>
    </row>
    <row r="474" spans="2:13" x14ac:dyDescent="0.25">
      <c r="B474" s="2" t="str">
        <f t="shared" si="154"/>
        <v/>
      </c>
      <c r="C474" s="30" t="str">
        <f t="shared" si="155"/>
        <v/>
      </c>
      <c r="D474" s="30">
        <f t="shared" si="156"/>
        <v>0</v>
      </c>
      <c r="E474" s="30">
        <f t="shared" si="157"/>
        <v>0</v>
      </c>
      <c r="F474" s="2">
        <f t="shared" si="158"/>
        <v>0</v>
      </c>
      <c r="G474" s="30">
        <f t="shared" si="159"/>
        <v>0</v>
      </c>
      <c r="J474" s="30">
        <f t="shared" si="160"/>
        <v>0</v>
      </c>
      <c r="K474" s="30" t="str">
        <f t="shared" si="161"/>
        <v/>
      </c>
      <c r="L474" s="30">
        <f t="shared" si="153"/>
        <v>0</v>
      </c>
      <c r="M474" s="30"/>
    </row>
    <row r="475" spans="2:13" x14ac:dyDescent="0.25">
      <c r="B475" s="2" t="str">
        <f t="shared" si="154"/>
        <v/>
      </c>
      <c r="C475" s="30" t="str">
        <f t="shared" si="155"/>
        <v/>
      </c>
      <c r="D475" s="30">
        <f t="shared" si="156"/>
        <v>0</v>
      </c>
      <c r="E475" s="30">
        <f t="shared" si="157"/>
        <v>0</v>
      </c>
      <c r="F475" s="2">
        <f t="shared" si="158"/>
        <v>0</v>
      </c>
      <c r="G475" s="30">
        <f t="shared" si="159"/>
        <v>0</v>
      </c>
      <c r="J475" s="30">
        <f t="shared" si="160"/>
        <v>0</v>
      </c>
      <c r="K475" s="30" t="str">
        <f t="shared" si="161"/>
        <v/>
      </c>
      <c r="L475" s="30">
        <f t="shared" si="153"/>
        <v>0</v>
      </c>
      <c r="M475" s="30"/>
    </row>
    <row r="476" spans="2:13" x14ac:dyDescent="0.25">
      <c r="B476" s="2" t="str">
        <f t="shared" si="154"/>
        <v/>
      </c>
      <c r="C476" s="30" t="str">
        <f t="shared" si="155"/>
        <v/>
      </c>
      <c r="D476" s="30">
        <f t="shared" si="156"/>
        <v>0</v>
      </c>
      <c r="E476" s="30">
        <f t="shared" si="157"/>
        <v>0</v>
      </c>
      <c r="F476" s="2">
        <f t="shared" si="158"/>
        <v>0</v>
      </c>
      <c r="G476" s="30">
        <f t="shared" si="159"/>
        <v>0</v>
      </c>
      <c r="J476" s="30">
        <f t="shared" si="160"/>
        <v>0</v>
      </c>
      <c r="K476" s="30" t="str">
        <f t="shared" si="161"/>
        <v/>
      </c>
      <c r="L476" s="30">
        <f t="shared" si="153"/>
        <v>0</v>
      </c>
      <c r="M476" s="30"/>
    </row>
    <row r="477" spans="2:13" x14ac:dyDescent="0.25">
      <c r="B477" s="2" t="str">
        <f t="shared" si="154"/>
        <v/>
      </c>
      <c r="C477" s="30" t="str">
        <f t="shared" si="155"/>
        <v/>
      </c>
      <c r="D477" s="30">
        <f t="shared" si="156"/>
        <v>0</v>
      </c>
      <c r="E477" s="30">
        <f t="shared" si="157"/>
        <v>0</v>
      </c>
      <c r="F477" s="2">
        <f t="shared" si="158"/>
        <v>0</v>
      </c>
      <c r="G477" s="30">
        <f t="shared" si="159"/>
        <v>0</v>
      </c>
      <c r="J477" s="30">
        <f t="shared" si="160"/>
        <v>0</v>
      </c>
      <c r="K477" s="30" t="str">
        <f t="shared" si="161"/>
        <v/>
      </c>
      <c r="L477" s="30">
        <f t="shared" si="153"/>
        <v>0</v>
      </c>
      <c r="M477" s="30"/>
    </row>
    <row r="478" spans="2:13" x14ac:dyDescent="0.25">
      <c r="B478" s="2" t="str">
        <f t="shared" si="154"/>
        <v/>
      </c>
      <c r="C478" s="30" t="str">
        <f t="shared" si="155"/>
        <v/>
      </c>
      <c r="D478" s="30">
        <f t="shared" si="156"/>
        <v>0</v>
      </c>
      <c r="E478" s="30">
        <f t="shared" si="157"/>
        <v>0</v>
      </c>
      <c r="F478" s="2">
        <f t="shared" si="158"/>
        <v>0</v>
      </c>
      <c r="G478" s="30">
        <f t="shared" si="159"/>
        <v>0</v>
      </c>
      <c r="J478" s="30">
        <f t="shared" si="160"/>
        <v>0</v>
      </c>
      <c r="K478" s="30" t="str">
        <f t="shared" si="161"/>
        <v/>
      </c>
      <c r="L478" s="30">
        <f t="shared" si="153"/>
        <v>0</v>
      </c>
      <c r="M478" s="30"/>
    </row>
    <row r="479" spans="2:13" x14ac:dyDescent="0.25">
      <c r="B479" s="2" t="str">
        <f t="shared" si="154"/>
        <v/>
      </c>
      <c r="C479" s="30" t="str">
        <f t="shared" si="155"/>
        <v/>
      </c>
      <c r="D479" s="30">
        <f t="shared" si="156"/>
        <v>0</v>
      </c>
      <c r="E479" s="30">
        <f t="shared" si="157"/>
        <v>0</v>
      </c>
      <c r="F479" s="2">
        <f t="shared" si="158"/>
        <v>0</v>
      </c>
      <c r="G479" s="30">
        <f t="shared" si="159"/>
        <v>0</v>
      </c>
      <c r="J479" s="30">
        <f t="shared" si="160"/>
        <v>0</v>
      </c>
      <c r="K479" s="30" t="str">
        <f t="shared" si="161"/>
        <v/>
      </c>
      <c r="L479" s="30">
        <f t="shared" si="153"/>
        <v>0</v>
      </c>
      <c r="M479" s="30"/>
    </row>
    <row r="480" spans="2:13" x14ac:dyDescent="0.25">
      <c r="B480" s="2" t="str">
        <f t="shared" si="154"/>
        <v/>
      </c>
      <c r="C480" s="30" t="str">
        <f t="shared" si="155"/>
        <v/>
      </c>
      <c r="D480" s="30">
        <f t="shared" si="156"/>
        <v>0</v>
      </c>
      <c r="E480" s="30">
        <f t="shared" si="157"/>
        <v>0</v>
      </c>
      <c r="F480" s="2">
        <f t="shared" si="158"/>
        <v>0</v>
      </c>
      <c r="G480" s="30">
        <f t="shared" si="159"/>
        <v>0</v>
      </c>
      <c r="J480" s="30">
        <f t="shared" si="160"/>
        <v>0</v>
      </c>
      <c r="K480" s="30" t="str">
        <f t="shared" si="161"/>
        <v/>
      </c>
      <c r="L480" s="30">
        <f t="shared" si="153"/>
        <v>0</v>
      </c>
      <c r="M480" s="30"/>
    </row>
    <row r="481" spans="2:13" x14ac:dyDescent="0.25">
      <c r="B481" s="2" t="str">
        <f t="shared" si="154"/>
        <v/>
      </c>
      <c r="C481" s="30" t="str">
        <f t="shared" si="155"/>
        <v/>
      </c>
      <c r="D481" s="30">
        <f t="shared" si="156"/>
        <v>0</v>
      </c>
      <c r="E481" s="30">
        <f t="shared" si="157"/>
        <v>0</v>
      </c>
      <c r="F481" s="2">
        <f t="shared" si="158"/>
        <v>0</v>
      </c>
      <c r="G481" s="30">
        <f t="shared" si="159"/>
        <v>0</v>
      </c>
      <c r="J481" s="30">
        <f t="shared" si="160"/>
        <v>0</v>
      </c>
      <c r="K481" s="30" t="str">
        <f t="shared" si="161"/>
        <v/>
      </c>
      <c r="L481" s="30">
        <f t="shared" si="153"/>
        <v>0</v>
      </c>
      <c r="M481" s="30"/>
    </row>
    <row r="482" spans="2:13" x14ac:dyDescent="0.25">
      <c r="B482" s="2" t="str">
        <f t="shared" si="154"/>
        <v/>
      </c>
      <c r="C482" s="30" t="str">
        <f t="shared" si="155"/>
        <v/>
      </c>
      <c r="D482" s="30">
        <f t="shared" si="156"/>
        <v>0</v>
      </c>
      <c r="E482" s="30">
        <f t="shared" si="157"/>
        <v>0</v>
      </c>
      <c r="F482" s="2">
        <f t="shared" si="158"/>
        <v>0</v>
      </c>
      <c r="G482" s="30">
        <f t="shared" si="159"/>
        <v>0</v>
      </c>
      <c r="J482" s="30">
        <f t="shared" si="160"/>
        <v>0</v>
      </c>
      <c r="K482" s="30" t="str">
        <f t="shared" si="161"/>
        <v/>
      </c>
      <c r="L482" s="30">
        <f t="shared" si="153"/>
        <v>0</v>
      </c>
      <c r="M482" s="30"/>
    </row>
    <row r="483" spans="2:13" x14ac:dyDescent="0.25">
      <c r="B483" s="2" t="str">
        <f t="shared" si="154"/>
        <v/>
      </c>
      <c r="C483" s="30" t="str">
        <f t="shared" si="155"/>
        <v/>
      </c>
      <c r="D483" s="30">
        <f t="shared" si="156"/>
        <v>0</v>
      </c>
      <c r="E483" s="30">
        <f t="shared" si="157"/>
        <v>0</v>
      </c>
      <c r="F483" s="2">
        <f t="shared" si="158"/>
        <v>0</v>
      </c>
      <c r="G483" s="30">
        <f t="shared" si="159"/>
        <v>0</v>
      </c>
      <c r="J483" s="30">
        <f t="shared" si="160"/>
        <v>0</v>
      </c>
      <c r="K483" s="30" t="str">
        <f t="shared" si="161"/>
        <v/>
      </c>
      <c r="L483" s="30">
        <f t="shared" si="153"/>
        <v>0</v>
      </c>
      <c r="M483" s="30"/>
    </row>
    <row r="484" spans="2:13" x14ac:dyDescent="0.25">
      <c r="B484" s="2" t="str">
        <f t="shared" si="154"/>
        <v/>
      </c>
      <c r="C484" s="30" t="str">
        <f t="shared" si="155"/>
        <v/>
      </c>
      <c r="D484" s="30">
        <f t="shared" si="156"/>
        <v>0</v>
      </c>
      <c r="E484" s="30">
        <f t="shared" si="157"/>
        <v>0</v>
      </c>
      <c r="F484" s="2">
        <f t="shared" si="158"/>
        <v>0</v>
      </c>
      <c r="G484" s="30">
        <f t="shared" si="159"/>
        <v>0</v>
      </c>
      <c r="J484" s="30">
        <f t="shared" si="160"/>
        <v>0</v>
      </c>
      <c r="K484" s="30" t="str">
        <f t="shared" si="161"/>
        <v/>
      </c>
      <c r="L484" s="30">
        <f t="shared" si="153"/>
        <v>0</v>
      </c>
      <c r="M484" s="30"/>
    </row>
    <row r="485" spans="2:13" x14ac:dyDescent="0.25">
      <c r="B485" s="2" t="str">
        <f t="shared" si="154"/>
        <v/>
      </c>
      <c r="C485" s="30" t="str">
        <f t="shared" si="155"/>
        <v/>
      </c>
      <c r="D485" s="30">
        <f t="shared" si="156"/>
        <v>0</v>
      </c>
      <c r="E485" s="30">
        <f t="shared" si="157"/>
        <v>0</v>
      </c>
      <c r="F485" s="2">
        <f t="shared" si="158"/>
        <v>0</v>
      </c>
      <c r="G485" s="30">
        <f t="shared" si="159"/>
        <v>0</v>
      </c>
      <c r="J485" s="30">
        <f t="shared" si="160"/>
        <v>0</v>
      </c>
      <c r="K485" s="30" t="str">
        <f t="shared" si="161"/>
        <v/>
      </c>
      <c r="L485" s="30">
        <f t="shared" si="153"/>
        <v>0</v>
      </c>
      <c r="M485" s="30"/>
    </row>
    <row r="486" spans="2:13" x14ac:dyDescent="0.25">
      <c r="B486" s="2" t="str">
        <f t="shared" si="154"/>
        <v/>
      </c>
      <c r="C486" s="30" t="str">
        <f t="shared" si="155"/>
        <v/>
      </c>
      <c r="D486" s="30">
        <f t="shared" si="156"/>
        <v>0</v>
      </c>
      <c r="E486" s="30">
        <f t="shared" si="157"/>
        <v>0</v>
      </c>
      <c r="F486" s="2">
        <f t="shared" si="158"/>
        <v>0</v>
      </c>
      <c r="G486" s="30">
        <f t="shared" si="159"/>
        <v>0</v>
      </c>
      <c r="J486" s="30">
        <f t="shared" si="160"/>
        <v>0</v>
      </c>
      <c r="K486" s="30" t="str">
        <f t="shared" si="161"/>
        <v/>
      </c>
      <c r="L486" s="30">
        <f t="shared" si="153"/>
        <v>0</v>
      </c>
      <c r="M486" s="30"/>
    </row>
    <row r="487" spans="2:13" x14ac:dyDescent="0.25">
      <c r="B487" s="2" t="str">
        <f t="shared" si="154"/>
        <v/>
      </c>
      <c r="C487" s="30" t="str">
        <f t="shared" si="155"/>
        <v/>
      </c>
      <c r="D487" s="30">
        <f t="shared" si="156"/>
        <v>0</v>
      </c>
      <c r="E487" s="30">
        <f t="shared" si="157"/>
        <v>0</v>
      </c>
      <c r="F487" s="2">
        <f t="shared" si="158"/>
        <v>0</v>
      </c>
      <c r="G487" s="30">
        <f t="shared" si="159"/>
        <v>0</v>
      </c>
      <c r="J487" s="30">
        <f t="shared" si="160"/>
        <v>0</v>
      </c>
      <c r="K487" s="30" t="str">
        <f t="shared" si="161"/>
        <v/>
      </c>
      <c r="L487" s="30">
        <f t="shared" si="153"/>
        <v>0</v>
      </c>
      <c r="M487" s="30"/>
    </row>
    <row r="488" spans="2:13" x14ac:dyDescent="0.25">
      <c r="B488" s="2" t="str">
        <f t="shared" si="154"/>
        <v/>
      </c>
      <c r="C488" s="30" t="str">
        <f t="shared" si="155"/>
        <v/>
      </c>
      <c r="D488" s="30">
        <f t="shared" si="156"/>
        <v>0</v>
      </c>
      <c r="E488" s="30">
        <f t="shared" si="157"/>
        <v>0</v>
      </c>
      <c r="F488" s="2">
        <f t="shared" si="158"/>
        <v>0</v>
      </c>
      <c r="G488" s="30">
        <f t="shared" si="159"/>
        <v>0</v>
      </c>
      <c r="J488" s="30">
        <f t="shared" si="160"/>
        <v>0</v>
      </c>
      <c r="K488" s="30" t="str">
        <f t="shared" si="161"/>
        <v/>
      </c>
      <c r="L488" s="30">
        <f t="shared" si="153"/>
        <v>0</v>
      </c>
      <c r="M488" s="30"/>
    </row>
    <row r="489" spans="2:13" x14ac:dyDescent="0.25">
      <c r="B489" s="2" t="str">
        <f t="shared" si="154"/>
        <v/>
      </c>
      <c r="C489" s="30" t="str">
        <f t="shared" si="155"/>
        <v/>
      </c>
      <c r="D489" s="30">
        <f t="shared" si="156"/>
        <v>0</v>
      </c>
      <c r="E489" s="30">
        <f t="shared" si="157"/>
        <v>0</v>
      </c>
      <c r="F489" s="2">
        <f t="shared" si="158"/>
        <v>0</v>
      </c>
      <c r="G489" s="30">
        <f t="shared" si="159"/>
        <v>0</v>
      </c>
      <c r="J489" s="30">
        <f t="shared" si="160"/>
        <v>0</v>
      </c>
      <c r="K489" s="30" t="str">
        <f t="shared" si="161"/>
        <v/>
      </c>
      <c r="L489" s="30">
        <f t="shared" si="153"/>
        <v>0</v>
      </c>
      <c r="M489" s="30"/>
    </row>
    <row r="490" spans="2:13" x14ac:dyDescent="0.25">
      <c r="B490" s="2" t="str">
        <f t="shared" si="154"/>
        <v/>
      </c>
      <c r="C490" s="30" t="str">
        <f t="shared" si="155"/>
        <v/>
      </c>
      <c r="D490" s="30">
        <f t="shared" si="156"/>
        <v>0</v>
      </c>
      <c r="E490" s="30">
        <f t="shared" si="157"/>
        <v>0</v>
      </c>
      <c r="F490" s="2">
        <f t="shared" si="158"/>
        <v>0</v>
      </c>
      <c r="G490" s="30">
        <f t="shared" si="159"/>
        <v>0</v>
      </c>
      <c r="J490" s="30">
        <f t="shared" si="160"/>
        <v>0</v>
      </c>
      <c r="K490" s="30" t="str">
        <f t="shared" si="161"/>
        <v/>
      </c>
      <c r="L490" s="30">
        <f t="shared" si="153"/>
        <v>0</v>
      </c>
      <c r="M490" s="30"/>
    </row>
    <row r="491" spans="2:13" x14ac:dyDescent="0.25">
      <c r="B491" s="2" t="str">
        <f t="shared" si="154"/>
        <v/>
      </c>
      <c r="C491" s="30" t="str">
        <f t="shared" si="155"/>
        <v/>
      </c>
      <c r="D491" s="30">
        <f t="shared" si="156"/>
        <v>0</v>
      </c>
      <c r="E491" s="30">
        <f t="shared" si="157"/>
        <v>0</v>
      </c>
      <c r="F491" s="2">
        <f t="shared" si="158"/>
        <v>0</v>
      </c>
      <c r="G491" s="30">
        <f t="shared" si="159"/>
        <v>0</v>
      </c>
      <c r="J491" s="30">
        <f t="shared" si="160"/>
        <v>0</v>
      </c>
      <c r="K491" s="30" t="str">
        <f t="shared" si="161"/>
        <v/>
      </c>
      <c r="L491" s="30">
        <f t="shared" si="153"/>
        <v>0</v>
      </c>
      <c r="M491" s="30"/>
    </row>
    <row r="492" spans="2:13" x14ac:dyDescent="0.25">
      <c r="B492" s="2" t="str">
        <f t="shared" si="154"/>
        <v/>
      </c>
      <c r="C492" s="30" t="str">
        <f t="shared" si="155"/>
        <v/>
      </c>
      <c r="D492" s="30">
        <f t="shared" si="156"/>
        <v>0</v>
      </c>
      <c r="E492" s="30">
        <f t="shared" si="157"/>
        <v>0</v>
      </c>
      <c r="F492" s="2">
        <f t="shared" si="158"/>
        <v>0</v>
      </c>
      <c r="G492" s="30">
        <f t="shared" si="159"/>
        <v>0</v>
      </c>
      <c r="J492" s="30">
        <f t="shared" si="160"/>
        <v>0</v>
      </c>
      <c r="K492" s="30" t="str">
        <f t="shared" si="161"/>
        <v/>
      </c>
      <c r="L492" s="30">
        <f t="shared" si="153"/>
        <v>0</v>
      </c>
      <c r="M492" s="30"/>
    </row>
    <row r="493" spans="2:13" x14ac:dyDescent="0.25">
      <c r="B493" s="2" t="str">
        <f t="shared" si="154"/>
        <v/>
      </c>
      <c r="C493" s="30" t="str">
        <f t="shared" si="155"/>
        <v/>
      </c>
      <c r="D493" s="30">
        <f t="shared" si="156"/>
        <v>0</v>
      </c>
      <c r="E493" s="30">
        <f t="shared" si="157"/>
        <v>0</v>
      </c>
      <c r="F493" s="2">
        <f t="shared" si="158"/>
        <v>0</v>
      </c>
      <c r="G493" s="30">
        <f t="shared" si="159"/>
        <v>0</v>
      </c>
      <c r="J493" s="30">
        <f t="shared" si="160"/>
        <v>0</v>
      </c>
      <c r="K493" s="30" t="str">
        <f t="shared" si="161"/>
        <v/>
      </c>
      <c r="L493" s="30">
        <f t="shared" si="153"/>
        <v>0</v>
      </c>
      <c r="M493" s="30"/>
    </row>
    <row r="494" spans="2:13" x14ac:dyDescent="0.25">
      <c r="B494" s="2" t="str">
        <f t="shared" si="154"/>
        <v/>
      </c>
      <c r="C494" s="30" t="str">
        <f t="shared" si="155"/>
        <v/>
      </c>
      <c r="D494" s="30">
        <f t="shared" si="156"/>
        <v>0</v>
      </c>
      <c r="E494" s="30">
        <f t="shared" si="157"/>
        <v>0</v>
      </c>
      <c r="F494" s="2">
        <f t="shared" si="158"/>
        <v>0</v>
      </c>
      <c r="G494" s="30">
        <f t="shared" si="159"/>
        <v>0</v>
      </c>
      <c r="J494" s="30">
        <f t="shared" si="160"/>
        <v>0</v>
      </c>
      <c r="K494" s="30" t="str">
        <f t="shared" si="161"/>
        <v/>
      </c>
      <c r="L494" s="30">
        <f t="shared" si="153"/>
        <v>0</v>
      </c>
      <c r="M494" s="30"/>
    </row>
    <row r="495" spans="2:13" x14ac:dyDescent="0.25">
      <c r="B495" s="2" t="str">
        <f t="shared" si="154"/>
        <v/>
      </c>
      <c r="C495" s="30" t="str">
        <f t="shared" si="155"/>
        <v/>
      </c>
      <c r="D495" s="30">
        <f t="shared" si="156"/>
        <v>0</v>
      </c>
      <c r="E495" s="30">
        <f t="shared" si="157"/>
        <v>0</v>
      </c>
      <c r="F495" s="2">
        <f t="shared" si="158"/>
        <v>0</v>
      </c>
      <c r="G495" s="30">
        <f t="shared" si="159"/>
        <v>0</v>
      </c>
      <c r="J495" s="30">
        <f t="shared" si="160"/>
        <v>0</v>
      </c>
      <c r="K495" s="30" t="str">
        <f t="shared" si="161"/>
        <v/>
      </c>
      <c r="L495" s="30">
        <f t="shared" si="153"/>
        <v>0</v>
      </c>
      <c r="M495" s="30"/>
    </row>
    <row r="496" spans="2:13" x14ac:dyDescent="0.25">
      <c r="B496" s="2" t="str">
        <f t="shared" si="154"/>
        <v/>
      </c>
      <c r="C496" s="30" t="str">
        <f t="shared" si="155"/>
        <v/>
      </c>
      <c r="D496" s="30">
        <f t="shared" si="156"/>
        <v>0</v>
      </c>
      <c r="E496" s="30">
        <f t="shared" si="157"/>
        <v>0</v>
      </c>
      <c r="F496" s="2">
        <f t="shared" si="158"/>
        <v>0</v>
      </c>
      <c r="G496" s="30">
        <f t="shared" si="159"/>
        <v>0</v>
      </c>
      <c r="J496" s="30">
        <f t="shared" si="160"/>
        <v>0</v>
      </c>
      <c r="K496" s="30" t="str">
        <f t="shared" si="161"/>
        <v/>
      </c>
      <c r="L496" s="30">
        <f t="shared" si="153"/>
        <v>0</v>
      </c>
      <c r="M496" s="30"/>
    </row>
    <row r="497" spans="2:13" x14ac:dyDescent="0.25">
      <c r="B497" s="2" t="str">
        <f t="shared" si="154"/>
        <v/>
      </c>
      <c r="C497" s="30" t="str">
        <f t="shared" si="155"/>
        <v/>
      </c>
      <c r="D497" s="30">
        <f t="shared" si="156"/>
        <v>0</v>
      </c>
      <c r="E497" s="30">
        <f t="shared" si="157"/>
        <v>0</v>
      </c>
      <c r="F497" s="2">
        <f t="shared" si="158"/>
        <v>0</v>
      </c>
      <c r="G497" s="30">
        <f t="shared" si="159"/>
        <v>0</v>
      </c>
      <c r="J497" s="30">
        <f t="shared" si="160"/>
        <v>0</v>
      </c>
      <c r="K497" s="30" t="str">
        <f t="shared" si="161"/>
        <v/>
      </c>
      <c r="L497" s="30">
        <f t="shared" si="153"/>
        <v>0</v>
      </c>
      <c r="M497" s="30"/>
    </row>
    <row r="498" spans="2:13" x14ac:dyDescent="0.25">
      <c r="B498" s="2" t="str">
        <f t="shared" si="154"/>
        <v/>
      </c>
      <c r="C498" s="30" t="str">
        <f t="shared" si="155"/>
        <v/>
      </c>
      <c r="D498" s="30">
        <f t="shared" si="156"/>
        <v>0</v>
      </c>
      <c r="E498" s="30">
        <f t="shared" si="157"/>
        <v>0</v>
      </c>
      <c r="F498" s="2">
        <f t="shared" si="158"/>
        <v>0</v>
      </c>
      <c r="G498" s="30">
        <f t="shared" si="159"/>
        <v>0</v>
      </c>
      <c r="J498" s="30">
        <f t="shared" si="160"/>
        <v>0</v>
      </c>
      <c r="K498" s="30" t="str">
        <f t="shared" si="161"/>
        <v/>
      </c>
      <c r="L498" s="30">
        <f t="shared" si="153"/>
        <v>0</v>
      </c>
      <c r="M498" s="30"/>
    </row>
    <row r="499" spans="2:13" x14ac:dyDescent="0.25">
      <c r="B499" s="2" t="str">
        <f t="shared" si="154"/>
        <v/>
      </c>
      <c r="C499" s="30" t="str">
        <f t="shared" si="155"/>
        <v/>
      </c>
      <c r="D499" s="30">
        <f t="shared" si="156"/>
        <v>0</v>
      </c>
      <c r="E499" s="30">
        <f t="shared" si="157"/>
        <v>0</v>
      </c>
      <c r="F499" s="2">
        <f t="shared" si="158"/>
        <v>0</v>
      </c>
      <c r="G499" s="30">
        <f t="shared" si="159"/>
        <v>0</v>
      </c>
      <c r="J499" s="30">
        <f t="shared" si="160"/>
        <v>0</v>
      </c>
      <c r="K499" s="30" t="str">
        <f t="shared" si="161"/>
        <v/>
      </c>
      <c r="L499" s="30">
        <f t="shared" si="153"/>
        <v>0</v>
      </c>
      <c r="M499" s="30"/>
    </row>
    <row r="500" spans="2:13" x14ac:dyDescent="0.25">
      <c r="B500" s="2" t="str">
        <f t="shared" si="154"/>
        <v/>
      </c>
      <c r="C500" s="30" t="str">
        <f t="shared" si="155"/>
        <v/>
      </c>
      <c r="D500" s="30">
        <f t="shared" si="156"/>
        <v>0</v>
      </c>
      <c r="E500" s="30">
        <f t="shared" si="157"/>
        <v>0</v>
      </c>
      <c r="F500" s="2">
        <f t="shared" si="158"/>
        <v>0</v>
      </c>
      <c r="G500" s="30">
        <f t="shared" si="159"/>
        <v>0</v>
      </c>
      <c r="J500" s="30">
        <f t="shared" si="160"/>
        <v>0</v>
      </c>
      <c r="K500" s="30" t="str">
        <f t="shared" si="161"/>
        <v/>
      </c>
      <c r="L500" s="30">
        <f t="shared" ref="L500:L501" si="162">+H500+G500+F500+E500+D500</f>
        <v>0</v>
      </c>
      <c r="M500" s="30"/>
    </row>
    <row r="501" spans="2:13" x14ac:dyDescent="0.25">
      <c r="B501" s="2" t="str">
        <f t="shared" si="154"/>
        <v/>
      </c>
      <c r="C501" s="30" t="str">
        <f t="shared" si="155"/>
        <v/>
      </c>
      <c r="D501" s="30">
        <f t="shared" si="156"/>
        <v>0</v>
      </c>
      <c r="E501" s="30">
        <f t="shared" si="157"/>
        <v>0</v>
      </c>
      <c r="F501" s="2">
        <f t="shared" si="158"/>
        <v>0</v>
      </c>
      <c r="G501" s="30">
        <f t="shared" si="159"/>
        <v>0</v>
      </c>
      <c r="J501" s="30">
        <f t="shared" si="160"/>
        <v>0</v>
      </c>
      <c r="K501" s="30" t="str">
        <f t="shared" si="161"/>
        <v/>
      </c>
      <c r="L501" s="30">
        <f t="shared" si="162"/>
        <v>0</v>
      </c>
      <c r="M501" s="30"/>
    </row>
    <row r="502" spans="2:13" x14ac:dyDescent="0.25">
      <c r="B502" s="2" t="str">
        <f t="shared" si="154"/>
        <v/>
      </c>
      <c r="C502" s="30" t="str">
        <f t="shared" si="155"/>
        <v/>
      </c>
      <c r="D502" s="30" t="str">
        <f>+IF(B502="","",-IPMT($C$5/12,B502,$C$6,$C$7))</f>
        <v/>
      </c>
      <c r="E502" s="30" t="str">
        <f>+IF(B502="","",-PPMT($C$5/12,B502,$C$6,$C$7))</f>
        <v/>
      </c>
      <c r="K502" s="30" t="str">
        <f>+IF(B502="","",C502-E502-H502)</f>
        <v/>
      </c>
    </row>
  </sheetData>
  <mergeCells count="1">
    <mergeCell ref="J9:K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3A2F-0197-433D-B1E5-7F2C0B885A4C}">
  <sheetPr codeName="Sheet4"/>
  <dimension ref="A1:C2"/>
  <sheetViews>
    <sheetView workbookViewId="0">
      <selection activeCell="A2" sqref="A2"/>
    </sheetView>
  </sheetViews>
  <sheetFormatPr defaultRowHeight="15" x14ac:dyDescent="0.25"/>
  <cols>
    <col min="3" max="3" width="93" customWidth="1"/>
  </cols>
  <sheetData>
    <row r="1" spans="1:3" ht="21.75" x14ac:dyDescent="0.3">
      <c r="A1" s="48"/>
    </row>
    <row r="2" spans="1:3" ht="45" x14ac:dyDescent="0.25">
      <c r="A2" t="s">
        <v>9</v>
      </c>
      <c r="C2" s="49" t="s">
        <v>55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306410BD-3BF9-457D-B146-54648BF2E2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Mortgage Calculator</vt:lpstr>
      <vt:lpstr>Sheet2</vt:lpstr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Zenee Miller</dc:creator>
  <cp:keywords/>
  <dc:description/>
  <cp:lastModifiedBy>Bhandari</cp:lastModifiedBy>
  <dcterms:created xsi:type="dcterms:W3CDTF">2011-02-05T06:12:31Z</dcterms:created>
  <dcterms:modified xsi:type="dcterms:W3CDTF">2019-10-13T15:13:16Z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TC021320439991</vt:lpwstr>
  </property>
</Properties>
</file>